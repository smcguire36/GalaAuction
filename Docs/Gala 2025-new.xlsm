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_rels/sheet1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pivotTables/pivotTable1.xml" ContentType="application/vnd.openxmlformats-officedocument.spreadsheetml.pivotTable+xml"/>
  <Override PartName="/xl/pivotTables/_rels/pivotTable1.xml.rels" ContentType="application/vnd.openxmlformats-package.relationship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Cache/pivotCacheDefinition1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_rels/item1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UCTION" sheetId="1" state="visible" r:id="rId4"/>
    <sheet name="Thoughts for 2026" sheetId="2" state="visible" r:id="rId5"/>
    <sheet name="RECEIPT" sheetId="3" state="visible" r:id="rId6"/>
    <sheet name="Guests" sheetId="4" state="visible" r:id="rId7"/>
    <sheet name="Items" sheetId="5" state="visible" r:id="rId8"/>
    <sheet name="Labels" sheetId="6" state="visible" r:id="rId9"/>
    <sheet name="Online Bidders" sheetId="7" state="visible" r:id="rId10"/>
    <sheet name="Password" sheetId="8" state="visible" r:id="rId11"/>
    <sheet name="Sheet9" sheetId="9" state="visible" r:id="rId12"/>
  </sheets>
  <definedNames>
    <definedName function="false" hidden="false" name="Slicer_Winning_Bidder_Number" vbProcedure="false">#N/A</definedName>
    <definedName function="false" hidden="true" localSheetId="3" name="ExternalData_1" vbProcedure="false">Guests!$A$1:$G$76</definedName>
    <definedName function="false" hidden="true" localSheetId="4" name="ExternalData_1" vbProcedure="false">Items!$A$1:$B$83</definedName>
  </definedNames>
  <calcPr iterateCount="100" refMode="A1" iterate="false" iterateDelta="0.0001"/>
  <pivotCaches>
    <pivotCache cacheId="1" r:id="rId14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<sst xmlns="http://schemas.openxmlformats.org/spreadsheetml/2006/main" count="1210" uniqueCount="421">
  <si>
    <t xml:space="preserve">Item Number</t>
  </si>
  <si>
    <t xml:space="preserve">Item</t>
  </si>
  <si>
    <t xml:space="preserve">Winning Bidder</t>
  </si>
  <si>
    <t xml:space="preserve">Winning Bidder Number</t>
  </si>
  <si>
    <t xml:space="preserve">Amount</t>
  </si>
  <si>
    <t xml:space="preserve">Paid?</t>
  </si>
  <si>
    <t xml:space="preserve">29</t>
  </si>
  <si>
    <t xml:space="preserve">Bidder</t>
  </si>
  <si>
    <t xml:space="preserve">Cost</t>
  </si>
  <si>
    <t xml:space="preserve">Data</t>
  </si>
  <si>
    <t xml:space="preserve">Item Amount</t>
  </si>
  <si>
    <t xml:space="preserve">Auction Item</t>
  </si>
  <si>
    <t xml:space="preserve">Kittle House Inn     </t>
  </si>
  <si>
    <t xml:space="preserve">ORCHID</t>
  </si>
  <si>
    <t xml:space="preserve">Orlando Hilton Hotel     </t>
  </si>
  <si>
    <t xml:space="preserve">JP</t>
  </si>
  <si>
    <t xml:space="preserve">(empty)</t>
  </si>
  <si>
    <t xml:space="preserve">Total Result</t>
  </si>
  <si>
    <t xml:space="preserve">TOTAL</t>
  </si>
  <si>
    <t xml:space="preserve">JVM</t>
  </si>
  <si>
    <t xml:space="preserve">PAID BY</t>
  </si>
  <si>
    <t xml:space="preserve">American Express</t>
  </si>
  <si>
    <t xml:space="preserve">Cash</t>
  </si>
  <si>
    <t xml:space="preserve">Check</t>
  </si>
  <si>
    <t xml:space="preserve">Discover</t>
  </si>
  <si>
    <t xml:space="preserve">MasterCard</t>
  </si>
  <si>
    <t xml:space="preserve">Other</t>
  </si>
  <si>
    <t xml:space="preserve">Visa</t>
  </si>
  <si>
    <t xml:space="preserve">LH</t>
  </si>
  <si>
    <t xml:space="preserve">SL</t>
  </si>
  <si>
    <t xml:space="preserve">EL</t>
  </si>
  <si>
    <t xml:space="preserve">ES</t>
  </si>
  <si>
    <t xml:space="preserve">BM</t>
  </si>
  <si>
    <t xml:space="preserve">MG</t>
  </si>
  <si>
    <t xml:space="preserve">-</t>
  </si>
  <si>
    <t xml:space="preserve">BP</t>
  </si>
  <si>
    <t xml:space="preserve">RW</t>
  </si>
  <si>
    <t xml:space="preserve">LB</t>
  </si>
  <si>
    <t xml:space="preserve">NA</t>
  </si>
  <si>
    <t xml:space="preserve">PK</t>
  </si>
  <si>
    <t xml:space="preserve">RS</t>
  </si>
  <si>
    <t xml:space="preserve">ER</t>
  </si>
  <si>
    <t xml:space="preserve">PJ</t>
  </si>
  <si>
    <t xml:space="preserve">AD</t>
  </si>
  <si>
    <t xml:space="preserve">VR</t>
  </si>
  <si>
    <t xml:space="preserve">Add online bidders to guest sheet - that way they show on winning bidder sheet better</t>
  </si>
  <si>
    <t xml:space="preserve">Figure out a way to have the PAID check boxes automatically stay checked when items are paid</t>
  </si>
  <si>
    <t xml:space="preserve">Canticorum Virtuosi, Inc</t>
  </si>
  <si>
    <t xml:space="preserve">Gala 2025 ~ Thank you for your support!</t>
  </si>
  <si>
    <t xml:space="preserve">Bidder #</t>
  </si>
  <si>
    <t xml:space="preserve">Grand Total</t>
  </si>
  <si>
    <t xml:space="preserve">Paid By:</t>
  </si>
  <si>
    <t xml:space="preserve">FIRST &amp; LAST NAME</t>
  </si>
  <si>
    <t xml:space="preserve">LAST NAME</t>
  </si>
  <si>
    <t xml:space="preserve">FIRST NAME</t>
  </si>
  <si>
    <t xml:space="preserve">TABLE #</t>
  </si>
  <si>
    <t xml:space="preserve">BIDDER #</t>
  </si>
  <si>
    <t xml:space="preserve">LAST CAPS</t>
  </si>
  <si>
    <t xml:space="preserve">FIRST &amp; LAST NAME - Copy</t>
  </si>
  <si>
    <t xml:space="preserve">Stephanie Abbinanti</t>
  </si>
  <si>
    <t xml:space="preserve">Abbinanti</t>
  </si>
  <si>
    <t xml:space="preserve">Stephanie</t>
  </si>
  <si>
    <t xml:space="preserve">ABBINANTI</t>
  </si>
  <si>
    <t xml:space="preserve">John Abbinanti</t>
  </si>
  <si>
    <t xml:space="preserve">John</t>
  </si>
  <si>
    <t xml:space="preserve">Tina Bardsley</t>
  </si>
  <si>
    <t xml:space="preserve">Bardsley</t>
  </si>
  <si>
    <t xml:space="preserve">Tina</t>
  </si>
  <si>
    <t xml:space="preserve">BARDSLEY</t>
  </si>
  <si>
    <t xml:space="preserve">Sydney Bardsley</t>
  </si>
  <si>
    <t xml:space="preserve">Sydney</t>
  </si>
  <si>
    <t xml:space="preserve">Nellie Beavers</t>
  </si>
  <si>
    <t xml:space="preserve">Beavers</t>
  </si>
  <si>
    <t xml:space="preserve">Nellie</t>
  </si>
  <si>
    <t xml:space="preserve">BEAVERS</t>
  </si>
  <si>
    <t xml:space="preserve">Joanie Betz</t>
  </si>
  <si>
    <t xml:space="preserve">Betz</t>
  </si>
  <si>
    <t xml:space="preserve">Joanie</t>
  </si>
  <si>
    <t xml:space="preserve">BETZ</t>
  </si>
  <si>
    <t xml:space="preserve">Eric Brenner</t>
  </si>
  <si>
    <t xml:space="preserve">Brenner</t>
  </si>
  <si>
    <t xml:space="preserve">Eric</t>
  </si>
  <si>
    <t xml:space="preserve">BRENNER</t>
  </si>
  <si>
    <t xml:space="preserve">Don Butt</t>
  </si>
  <si>
    <t xml:space="preserve">Butt</t>
  </si>
  <si>
    <t xml:space="preserve">Don</t>
  </si>
  <si>
    <t xml:space="preserve">BUTT</t>
  </si>
  <si>
    <t xml:space="preserve">Xin Chen</t>
  </si>
  <si>
    <t xml:space="preserve">Chen</t>
  </si>
  <si>
    <t xml:space="preserve">Xin</t>
  </si>
  <si>
    <t xml:space="preserve">CHEN</t>
  </si>
  <si>
    <t xml:space="preserve">Nan Coffee</t>
  </si>
  <si>
    <t xml:space="preserve">Coffee</t>
  </si>
  <si>
    <t xml:space="preserve">Nan</t>
  </si>
  <si>
    <t xml:space="preserve">COFFEE</t>
  </si>
  <si>
    <t xml:space="preserve">Tess Dennis</t>
  </si>
  <si>
    <t xml:space="preserve">Dennis</t>
  </si>
  <si>
    <t xml:space="preserve">Tess</t>
  </si>
  <si>
    <t xml:space="preserve">DENNIS</t>
  </si>
  <si>
    <t xml:space="preserve">Marcos Dinnerstein</t>
  </si>
  <si>
    <t xml:space="preserve">Dinnerstein</t>
  </si>
  <si>
    <t xml:space="preserve">Marcos</t>
  </si>
  <si>
    <t xml:space="preserve">DINNERSTEIN</t>
  </si>
  <si>
    <t xml:space="preserve">Julia Douglas</t>
  </si>
  <si>
    <t xml:space="preserve">Douglas</t>
  </si>
  <si>
    <t xml:space="preserve">Julia</t>
  </si>
  <si>
    <t xml:space="preserve">DOUGLAS</t>
  </si>
  <si>
    <t xml:space="preserve">Elaine Feldman</t>
  </si>
  <si>
    <t xml:space="preserve">Feldman</t>
  </si>
  <si>
    <t xml:space="preserve">Elaine</t>
  </si>
  <si>
    <t xml:space="preserve">FELDMAN</t>
  </si>
  <si>
    <t xml:space="preserve">Megan Feldman</t>
  </si>
  <si>
    <t xml:space="preserve">Megan</t>
  </si>
  <si>
    <t xml:space="preserve">Dan Feldman</t>
  </si>
  <si>
    <t xml:space="preserve">Dan</t>
  </si>
  <si>
    <t xml:space="preserve">Stuart Feldman</t>
  </si>
  <si>
    <t xml:space="preserve">Stuart</t>
  </si>
  <si>
    <t xml:space="preserve">Linda Fusco</t>
  </si>
  <si>
    <t xml:space="preserve">Fusco</t>
  </si>
  <si>
    <t xml:space="preserve">Linda</t>
  </si>
  <si>
    <t xml:space="preserve">FUSCO</t>
  </si>
  <si>
    <t xml:space="preserve">Ben Fusco</t>
  </si>
  <si>
    <t xml:space="preserve">Ben</t>
  </si>
  <si>
    <t xml:space="preserve">Matt Glasson</t>
  </si>
  <si>
    <t xml:space="preserve">Glasson</t>
  </si>
  <si>
    <t xml:space="preserve">Matt</t>
  </si>
  <si>
    <t xml:space="preserve">GLASSON</t>
  </si>
  <si>
    <t xml:space="preserve">Steven Goldstein</t>
  </si>
  <si>
    <t xml:space="preserve">Goldstein</t>
  </si>
  <si>
    <t xml:space="preserve">Steven</t>
  </si>
  <si>
    <t xml:space="preserve">GOLDSTEIN</t>
  </si>
  <si>
    <t xml:space="preserve">Peter Gross</t>
  </si>
  <si>
    <t xml:space="preserve">Gross</t>
  </si>
  <si>
    <t xml:space="preserve">Peter</t>
  </si>
  <si>
    <t xml:space="preserve">GROSS</t>
  </si>
  <si>
    <t xml:space="preserve">Mother Lynn Harrington</t>
  </si>
  <si>
    <t xml:space="preserve">Harrington</t>
  </si>
  <si>
    <t xml:space="preserve">Mother Lynn</t>
  </si>
  <si>
    <t xml:space="preserve">HARRINGTON</t>
  </si>
  <si>
    <t xml:space="preserve">Dennis Harrington</t>
  </si>
  <si>
    <t xml:space="preserve">Kate Herland</t>
  </si>
  <si>
    <t xml:space="preserve">Herland</t>
  </si>
  <si>
    <t xml:space="preserve">Kate</t>
  </si>
  <si>
    <t xml:space="preserve">HERLAND</t>
  </si>
  <si>
    <t xml:space="preserve">Chloe Holgate</t>
  </si>
  <si>
    <t xml:space="preserve">Holgate</t>
  </si>
  <si>
    <t xml:space="preserve">Chloe</t>
  </si>
  <si>
    <t xml:space="preserve">HOLGATE</t>
  </si>
  <si>
    <t xml:space="preserve">Craig Hupper</t>
  </si>
  <si>
    <t xml:space="preserve">Hupper</t>
  </si>
  <si>
    <t xml:space="preserve">Craig</t>
  </si>
  <si>
    <t xml:space="preserve">HUPPER</t>
  </si>
  <si>
    <t xml:space="preserve">Susan Hupper</t>
  </si>
  <si>
    <t xml:space="preserve">Susan</t>
  </si>
  <si>
    <t xml:space="preserve">Linda Iacomini</t>
  </si>
  <si>
    <t xml:space="preserve">Iacomini</t>
  </si>
  <si>
    <t xml:space="preserve">IACOMINI</t>
  </si>
  <si>
    <t xml:space="preserve">Steve James</t>
  </si>
  <si>
    <t xml:space="preserve">James</t>
  </si>
  <si>
    <t xml:space="preserve">Steve</t>
  </si>
  <si>
    <t xml:space="preserve">JAMES</t>
  </si>
  <si>
    <t xml:space="preserve">Kevin James</t>
  </si>
  <si>
    <t xml:space="preserve">Kevin</t>
  </si>
  <si>
    <t xml:space="preserve">Julie James</t>
  </si>
  <si>
    <t xml:space="preserve">Julie</t>
  </si>
  <si>
    <t xml:space="preserve">Mark Kaufman</t>
  </si>
  <si>
    <t xml:space="preserve">Kaufman</t>
  </si>
  <si>
    <t xml:space="preserve">Mark</t>
  </si>
  <si>
    <t xml:space="preserve">KAUFMAN</t>
  </si>
  <si>
    <t xml:space="preserve">Frannie Kaufman</t>
  </si>
  <si>
    <t xml:space="preserve">Frannie</t>
  </si>
  <si>
    <t xml:space="preserve">Marty Kihn</t>
  </si>
  <si>
    <t xml:space="preserve">Kihn</t>
  </si>
  <si>
    <t xml:space="preserve">Marty</t>
  </si>
  <si>
    <t xml:space="preserve">KIHN</t>
  </si>
  <si>
    <t xml:space="preserve">Ann Lauria</t>
  </si>
  <si>
    <t xml:space="preserve">Lauria</t>
  </si>
  <si>
    <t xml:space="preserve">Ann</t>
  </si>
  <si>
    <t xml:space="preserve">LAURIA</t>
  </si>
  <si>
    <t xml:space="preserve">Mati Lazar</t>
  </si>
  <si>
    <t xml:space="preserve">Lazar</t>
  </si>
  <si>
    <t xml:space="preserve">Mati</t>
  </si>
  <si>
    <t xml:space="preserve">LAZAR</t>
  </si>
  <si>
    <t xml:space="preserve">Vivian Lazar</t>
  </si>
  <si>
    <t xml:space="preserve">Vivian</t>
  </si>
  <si>
    <t xml:space="preserve">Richard Lewis-Pierre</t>
  </si>
  <si>
    <t xml:space="preserve">Lewis-Pierre</t>
  </si>
  <si>
    <t xml:space="preserve">Richard</t>
  </si>
  <si>
    <t xml:space="preserve">LEWIS-PIERRE</t>
  </si>
  <si>
    <t xml:space="preserve">Elisabeth McDonald</t>
  </si>
  <si>
    <t xml:space="preserve">McDonald</t>
  </si>
  <si>
    <t xml:space="preserve">Elisabeth</t>
  </si>
  <si>
    <t xml:space="preserve">MCDONALD</t>
  </si>
  <si>
    <t xml:space="preserve">Andrew McGuire</t>
  </si>
  <si>
    <t xml:space="preserve">McGuire</t>
  </si>
  <si>
    <t xml:space="preserve">Andrew</t>
  </si>
  <si>
    <t xml:space="preserve">MCGUIRE</t>
  </si>
  <si>
    <t xml:space="preserve">Stewart McGuire</t>
  </si>
  <si>
    <t xml:space="preserve">Stewart</t>
  </si>
  <si>
    <t xml:space="preserve">Peggy McGuire</t>
  </si>
  <si>
    <t xml:space="preserve">Peggy</t>
  </si>
  <si>
    <t xml:space="preserve">Max McGuire</t>
  </si>
  <si>
    <t xml:space="preserve">Max</t>
  </si>
  <si>
    <t xml:space="preserve">Kimberly McGuire</t>
  </si>
  <si>
    <t xml:space="preserve">Kimberly</t>
  </si>
  <si>
    <t xml:space="preserve">Dee McGuire</t>
  </si>
  <si>
    <t xml:space="preserve">Dee</t>
  </si>
  <si>
    <t xml:space="preserve">Abby McGuire</t>
  </si>
  <si>
    <t xml:space="preserve">Abby</t>
  </si>
  <si>
    <t xml:space="preserve">Elizabeth Meyer-Gross</t>
  </si>
  <si>
    <t xml:space="preserve">Meyer-Gross</t>
  </si>
  <si>
    <t xml:space="preserve">Elizabeth</t>
  </si>
  <si>
    <t xml:space="preserve">MEYER-GROSS</t>
  </si>
  <si>
    <t xml:space="preserve">Susan Morello</t>
  </si>
  <si>
    <t xml:space="preserve">Morello</t>
  </si>
  <si>
    <t xml:space="preserve">MORELLO</t>
  </si>
  <si>
    <t xml:space="preserve">Michael Morello</t>
  </si>
  <si>
    <t xml:space="preserve">Michael</t>
  </si>
  <si>
    <t xml:space="preserve">Brian Mumfort</t>
  </si>
  <si>
    <t xml:space="preserve">Mumfort</t>
  </si>
  <si>
    <t xml:space="preserve">Brian</t>
  </si>
  <si>
    <t xml:space="preserve">MUMFORT</t>
  </si>
  <si>
    <t xml:space="preserve">Rose Murdock</t>
  </si>
  <si>
    <t xml:space="preserve">Murdock</t>
  </si>
  <si>
    <t xml:space="preserve">Rose</t>
  </si>
  <si>
    <t xml:space="preserve">MURDOCK</t>
  </si>
  <si>
    <t xml:space="preserve">Carmen Perdomo</t>
  </si>
  <si>
    <t xml:space="preserve">Perdomo</t>
  </si>
  <si>
    <t xml:space="preserve">Carmen</t>
  </si>
  <si>
    <t xml:space="preserve">PERDOMO</t>
  </si>
  <si>
    <t xml:space="preserve">Frank Perdomo</t>
  </si>
  <si>
    <t xml:space="preserve">Frank</t>
  </si>
  <si>
    <t xml:space="preserve">Fred Piker</t>
  </si>
  <si>
    <t xml:space="preserve">Piker</t>
  </si>
  <si>
    <t xml:space="preserve">Fred</t>
  </si>
  <si>
    <t xml:space="preserve">PIKER</t>
  </si>
  <si>
    <t xml:space="preserve">Ben Pologe</t>
  </si>
  <si>
    <t xml:space="preserve">Pologe</t>
  </si>
  <si>
    <t xml:space="preserve">POLOGE</t>
  </si>
  <si>
    <t xml:space="preserve">Harold Rosenbaum</t>
  </si>
  <si>
    <t xml:space="preserve">Rosenbaum</t>
  </si>
  <si>
    <t xml:space="preserve">Harold</t>
  </si>
  <si>
    <t xml:space="preserve">ROSENBAUM</t>
  </si>
  <si>
    <t xml:space="preserve">Edie Rosenbaum</t>
  </si>
  <si>
    <t xml:space="preserve">Edie</t>
  </si>
  <si>
    <t xml:space="preserve">David Rowsell</t>
  </si>
  <si>
    <t xml:space="preserve">Rowsell</t>
  </si>
  <si>
    <t xml:space="preserve">David</t>
  </si>
  <si>
    <t xml:space="preserve">ROWSELL</t>
  </si>
  <si>
    <t xml:space="preserve">Belinda Rowsell</t>
  </si>
  <si>
    <t xml:space="preserve">Belinda</t>
  </si>
  <si>
    <t xml:space="preserve">David Schwartz</t>
  </si>
  <si>
    <t xml:space="preserve">Schwartz</t>
  </si>
  <si>
    <t xml:space="preserve">SCHWARTZ</t>
  </si>
  <si>
    <t xml:space="preserve">Genti Shehaj</t>
  </si>
  <si>
    <t xml:space="preserve">Shehaj</t>
  </si>
  <si>
    <t xml:space="preserve">Genti</t>
  </si>
  <si>
    <t xml:space="preserve">SHEHAJ</t>
  </si>
  <si>
    <t xml:space="preserve">Celia Shehaj</t>
  </si>
  <si>
    <t xml:space="preserve">Celia</t>
  </si>
  <si>
    <t xml:space="preserve">Tyler Shehaj</t>
  </si>
  <si>
    <t xml:space="preserve">Tyler</t>
  </si>
  <si>
    <t xml:space="preserve">Jackson Shehaj</t>
  </si>
  <si>
    <t xml:space="preserve">Jackson</t>
  </si>
  <si>
    <t xml:space="preserve">Michael Spudic</t>
  </si>
  <si>
    <t xml:space="preserve">Spudic</t>
  </si>
  <si>
    <t xml:space="preserve">SPUDIC</t>
  </si>
  <si>
    <t xml:space="preserve">Michael Steinberger</t>
  </si>
  <si>
    <t xml:space="preserve">Steinberger</t>
  </si>
  <si>
    <t xml:space="preserve">STEINBERGER</t>
  </si>
  <si>
    <t xml:space="preserve">Mary Stevenson</t>
  </si>
  <si>
    <t xml:space="preserve">Stevenson</t>
  </si>
  <si>
    <t xml:space="preserve">Mary</t>
  </si>
  <si>
    <t xml:space="preserve">STEVENSON</t>
  </si>
  <si>
    <t xml:space="preserve">Sedge Ward</t>
  </si>
  <si>
    <t xml:space="preserve">Ward</t>
  </si>
  <si>
    <t xml:space="preserve">Sedge</t>
  </si>
  <si>
    <t xml:space="preserve">WARD</t>
  </si>
  <si>
    <t xml:space="preserve">Barbara Ward</t>
  </si>
  <si>
    <t xml:space="preserve">Barbara</t>
  </si>
  <si>
    <t xml:space="preserve">Father Patrick Ward</t>
  </si>
  <si>
    <t xml:space="preserve">Father Patrick</t>
  </si>
  <si>
    <t xml:space="preserve">Ricki Wasserman</t>
  </si>
  <si>
    <t xml:space="preserve">Wasserman</t>
  </si>
  <si>
    <t xml:space="preserve">Ricki</t>
  </si>
  <si>
    <t xml:space="preserve">WASSERMAN</t>
  </si>
  <si>
    <t xml:space="preserve">Ann Williams</t>
  </si>
  <si>
    <t xml:space="preserve">Williams</t>
  </si>
  <si>
    <t xml:space="preserve">WILLIAMS</t>
  </si>
  <si>
    <t xml:space="preserve">Brana Williams</t>
  </si>
  <si>
    <t xml:space="preserve">Brana</t>
  </si>
  <si>
    <t xml:space="preserve">Gil Zicklin</t>
  </si>
  <si>
    <t xml:space="preserve">Zicklin</t>
  </si>
  <si>
    <t xml:space="preserve">Gil</t>
  </si>
  <si>
    <t xml:space="preserve">ZICKLIN</t>
  </si>
  <si>
    <t xml:space="preserve">Item #</t>
  </si>
  <si>
    <t xml:space="preserve">Item Name</t>
  </si>
  <si>
    <t xml:space="preserve">OpeningBid</t>
  </si>
  <si>
    <t xml:space="preserve">Adirondack Get-away      </t>
  </si>
  <si>
    <t xml:space="preserve">The Bunker Hill Inn    </t>
  </si>
  <si>
    <t xml:space="preserve">Intercontinental New York Barclay Hotel   </t>
  </si>
  <si>
    <t xml:space="preserve">Intercontinental Times Square Hotel #1   </t>
  </si>
  <si>
    <t xml:space="preserve">Intercontinental Times Square Hotel #2   </t>
  </si>
  <si>
    <t xml:space="preserve">Seven-night stay at La Mourrade in Provence, France</t>
  </si>
  <si>
    <t xml:space="preserve">Veuve Cliquot Champagne Brut, with flutes  </t>
  </si>
  <si>
    <t xml:space="preserve">Veuve Cliquot Champagne Rosé Brut with flutes </t>
  </si>
  <si>
    <t xml:space="preserve">Crate of Summer Wines    </t>
  </si>
  <si>
    <t xml:space="preserve">Willet Pot Bourbon with glasses   </t>
  </si>
  <si>
    <t xml:space="preserve">Portuguese Wine Case     </t>
  </si>
  <si>
    <t xml:space="preserve">Bourbon Tasting</t>
  </si>
  <si>
    <t xml:space="preserve">Wine Crate with Select Wines!</t>
  </si>
  <si>
    <t xml:space="preserve">Mediterranean Booze!</t>
  </si>
  <si>
    <t xml:space="preserve">Rosé Tasting w/3 Bottles</t>
  </si>
  <si>
    <t xml:space="preserve">Horse and Hound Inn #1</t>
  </si>
  <si>
    <t xml:space="preserve">Horse and Hound Inn #2</t>
  </si>
  <si>
    <t xml:space="preserve">Le Bernardin      </t>
  </si>
  <si>
    <t xml:space="preserve">Lincoln Restaurant      </t>
  </si>
  <si>
    <t xml:space="preserve">Tea at the Plaza    </t>
  </si>
  <si>
    <t xml:space="preserve">Three Bottles of Superior Olive Oil from Portugal</t>
  </si>
  <si>
    <t xml:space="preserve">Bangkok Republic</t>
  </si>
  <si>
    <t xml:space="preserve">American Ballet      </t>
  </si>
  <si>
    <t xml:space="preserve">American Symphony Orchestra     </t>
  </si>
  <si>
    <t xml:space="preserve">Caramoor       </t>
  </si>
  <si>
    <t xml:space="preserve">The New York Philharmonic with Hélenè Grimaud </t>
  </si>
  <si>
    <t xml:space="preserve">The Metropolitan Opera     </t>
  </si>
  <si>
    <t xml:space="preserve">Music Before 1800     </t>
  </si>
  <si>
    <t xml:space="preserve">Orchestra Lumos      </t>
  </si>
  <si>
    <t xml:space="preserve">Parthenia Viol Concerts     </t>
  </si>
  <si>
    <t xml:space="preserve">The Orchestra of St. Luke’s   </t>
  </si>
  <si>
    <t xml:space="preserve">The Ridgefield Symphony     </t>
  </si>
  <si>
    <t xml:space="preserve">Music at St. Thomas    </t>
  </si>
  <si>
    <t xml:space="preserve">Gotham Early Music Scene Concert Tickets</t>
  </si>
  <si>
    <t xml:space="preserve">Musica Sacra</t>
  </si>
  <si>
    <t xml:space="preserve">The Symphony of Westchester Tickets</t>
  </si>
  <si>
    <t xml:space="preserve">Chamber Music Society of Lincoln Center</t>
  </si>
  <si>
    <t xml:space="preserve">Broadway Show!</t>
  </si>
  <si>
    <t xml:space="preserve">Nikita Galaktionov Piano Recital</t>
  </si>
  <si>
    <t xml:space="preserve">Two tickets to the 2025 Bard Music Festival</t>
  </si>
  <si>
    <t xml:space="preserve">Family Membership to the Ridgefield Playhouse</t>
  </si>
  <si>
    <t xml:space="preserve">Golf Outing      </t>
  </si>
  <si>
    <t xml:space="preserve">Yankees Tickets (4)</t>
  </si>
  <si>
    <t xml:space="preserve">Yankees Tickets (2)</t>
  </si>
  <si>
    <t xml:space="preserve">Painting by Tess Dennis    </t>
  </si>
  <si>
    <t xml:space="preserve">Katonah Art and Frame    </t>
  </si>
  <si>
    <t xml:space="preserve">Tiffany Daffodil Needlepoint</t>
  </si>
  <si>
    <t xml:space="preserve">Exquisite Peacock Needlepoint</t>
  </si>
  <si>
    <t xml:space="preserve">Pet Portrait</t>
  </si>
  <si>
    <t xml:space="preserve">Bradford Portraits      </t>
  </si>
  <si>
    <t xml:space="preserve">Breathing Coordination      </t>
  </si>
  <si>
    <t xml:space="preserve">Choral Conducting Workshop Auditor    </t>
  </si>
  <si>
    <t xml:space="preserve">Organ Lesson – Gregory D’Agostino   </t>
  </si>
  <si>
    <t xml:space="preserve">Confidential Consultation – Ben Pologe, Ph.D.  </t>
  </si>
  <si>
    <t xml:space="preserve">Gossett Nursery Gift Card    </t>
  </si>
  <si>
    <t xml:space="preserve">Piano Lesson - Will Healy    </t>
  </si>
  <si>
    <t xml:space="preserve">Historic Hudson Valley     </t>
  </si>
  <si>
    <t xml:space="preserve">Study with the Maestro    </t>
  </si>
  <si>
    <t xml:space="preserve">Thai Massage      </t>
  </si>
  <si>
    <t xml:space="preserve">Voice Lessons – Ellen Sisson   </t>
  </si>
  <si>
    <t xml:space="preserve">Voice Lesson or Coaching - Ellen Lang</t>
  </si>
  <si>
    <t xml:space="preserve">Tour of the Aaron Copland Historic Landmark home</t>
  </si>
  <si>
    <t xml:space="preserve">Houseplant Plant Spa gift pack</t>
  </si>
  <si>
    <t xml:space="preserve">Mary Mogil Fitness</t>
  </si>
  <si>
    <t xml:space="preserve">1-Hour Nutrition Tune-Up Service</t>
  </si>
  <si>
    <t xml:space="preserve">James Bassi - Piano or Composition Lesson</t>
  </si>
  <si>
    <t xml:space="preserve">Table #</t>
  </si>
  <si>
    <t xml:space="preserve">Laurie</t>
  </si>
  <si>
    <t xml:space="preserve">Bradbury</t>
  </si>
  <si>
    <t xml:space="preserve">Irene</t>
  </si>
  <si>
    <t xml:space="preserve">Muller</t>
  </si>
  <si>
    <t xml:space="preserve">IM</t>
  </si>
  <si>
    <t xml:space="preserve">Judy</t>
  </si>
  <si>
    <t xml:space="preserve">Petro</t>
  </si>
  <si>
    <t xml:space="preserve">Joyce</t>
  </si>
  <si>
    <t xml:space="preserve">Matern</t>
  </si>
  <si>
    <t xml:space="preserve">JM</t>
  </si>
  <si>
    <t xml:space="preserve">Vitulo-Martin</t>
  </si>
  <si>
    <t xml:space="preserve">Lynn</t>
  </si>
  <si>
    <t xml:space="preserve">Bobby</t>
  </si>
  <si>
    <t xml:space="preserve">Pape</t>
  </si>
  <si>
    <t xml:space="preserve">AM</t>
  </si>
  <si>
    <t xml:space="preserve">Robert</t>
  </si>
  <si>
    <t xml:space="preserve">RM</t>
  </si>
  <si>
    <t xml:space="preserve">Weil</t>
  </si>
  <si>
    <t xml:space="preserve">KW</t>
  </si>
  <si>
    <t xml:space="preserve">Kearney</t>
  </si>
  <si>
    <t xml:space="preserve">Alexander</t>
  </si>
  <si>
    <t xml:space="preserve">Pugatch</t>
  </si>
  <si>
    <t xml:space="preserve">AP</t>
  </si>
  <si>
    <t xml:space="preserve">Ellen</t>
  </si>
  <si>
    <t xml:space="preserve">Lang</t>
  </si>
  <si>
    <t xml:space="preserve">Eugenia</t>
  </si>
  <si>
    <t xml:space="preserve">Sackson</t>
  </si>
  <si>
    <t xml:space="preserve">Mary Ellen</t>
  </si>
  <si>
    <t xml:space="preserve">Bianco</t>
  </si>
  <si>
    <t xml:space="preserve">MEB</t>
  </si>
  <si>
    <t xml:space="preserve">Patti</t>
  </si>
  <si>
    <t xml:space="preserve">Juliana</t>
  </si>
  <si>
    <t xml:space="preserve">Bill</t>
  </si>
  <si>
    <t xml:space="preserve">McClelland</t>
  </si>
  <si>
    <t xml:space="preserve">Naja</t>
  </si>
  <si>
    <t xml:space="preserve">Armstrong</t>
  </si>
  <si>
    <t xml:space="preserve">Bruce</t>
  </si>
  <si>
    <t xml:space="preserve">Gould</t>
  </si>
  <si>
    <t xml:space="preserve">BG</t>
  </si>
  <si>
    <t xml:space="preserve">Bennet</t>
  </si>
  <si>
    <t xml:space="preserve">Polage</t>
  </si>
  <si>
    <t xml:space="preserve">Rex</t>
  </si>
  <si>
    <t xml:space="preserve">Schultz</t>
  </si>
  <si>
    <t xml:space="preserve">Angela</t>
  </si>
  <si>
    <t xml:space="preserve">Docenko</t>
  </si>
  <si>
    <t xml:space="preserve">Vincent</t>
  </si>
  <si>
    <t xml:space="preserve">Rone</t>
  </si>
  <si>
    <t xml:space="preserve">Square</t>
  </si>
  <si>
    <t xml:space="preserve">User email</t>
  </si>
  <si>
    <t xml:space="preserve">peggypeggy65@gmail.com</t>
  </si>
  <si>
    <t xml:space="preserve">Password</t>
  </si>
  <si>
    <t xml:space="preserve">HaroldRosenbaum</t>
  </si>
  <si>
    <t xml:space="preserve">LastName</t>
  </si>
  <si>
    <t xml:space="preserve">FirstName</t>
  </si>
  <si>
    <t xml:space="preserve">TableNumber</t>
  </si>
  <si>
    <t xml:space="preserve">InPersonBidderNumber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</si>
</sst>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\$#,##0.00"/>
    <numFmt numFmtId="166" formatCode="General"/>
    <numFmt numFmtId="167" formatCode="@"/>
    <numFmt numFmtId="168" formatCode="_(\$* #,##0.00_);_(\$* \(#,##0.00\);_(\$* \-??_);_(@_)"/>
    <numFmt numFmtId="169" formatCode="0"/>
  </numFmts>
  <fonts count="15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Aptos Narrow"/>
      <family val="2"/>
      <charset val="1"/>
    </font>
    <font>
      <sz val="10"/>
      <color rgb="FF003059"/>
      <name val="Consolas"/>
      <family val="3"/>
      <charset val="1"/>
    </font>
    <font>
      <b val="true"/>
      <sz val="24"/>
      <color theme="1"/>
      <name val="Aptos Narrow"/>
      <family val="0"/>
    </font>
    <font>
      <sz val="11"/>
      <color rgb="FF000000"/>
      <name val="Times New Roman"/>
      <family val="0"/>
    </font>
    <font>
      <b val="true"/>
      <sz val="24"/>
      <color theme="1"/>
      <name val="Aptos Narrow"/>
      <family val="2"/>
      <charset val="1"/>
    </font>
    <font>
      <b val="true"/>
      <sz val="36"/>
      <color rgb="FF030000"/>
      <name val="Bree Serif"/>
      <family val="0"/>
      <charset val="1"/>
    </font>
    <font>
      <sz val="20"/>
      <color theme="1"/>
      <name val="Aptos Narrow"/>
      <family val="2"/>
      <charset val="1"/>
    </font>
    <font>
      <b val="true"/>
      <sz val="14"/>
      <color theme="1"/>
      <name val="Aptos Narrow"/>
      <family val="2"/>
      <charset val="1"/>
    </font>
    <font>
      <sz val="11"/>
      <color theme="1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sz val="20"/>
      <color theme="1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theme="6" tint="0.7999"/>
        <bgColor rgb="FFCCFFFF"/>
      </patternFill>
    </fill>
  </fills>
  <borders count="18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2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bottom" textRotation="0" wrapText="false" indent="0" shrinkToFit="false"/>
      <protection locked="false" hidden="false"/>
    </xf>
    <xf numFmtId="164" fontId="0" fillId="0" borderId="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8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9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5" fontId="0" fillId="0" borderId="10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5" fontId="0" fillId="0" borderId="13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5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5" fontId="4" fillId="0" borderId="16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7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8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8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8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6" fontId="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left" vertical="bottom" textRotation="0" wrapText="false" indent="3" shrinkToFit="false"/>
      <protection locked="true" hidden="false"/>
    </xf>
    <xf numFmtId="166" fontId="11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9" fontId="1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13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12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9" fontId="14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9" fontId="13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ategory" xfId="20"/>
    <cellStyle name="Pivot Table Corner" xfId="21"/>
    <cellStyle name="Pivot Table Field" xfId="22"/>
    <cellStyle name="Pivot Table Result" xfId="23"/>
    <cellStyle name="Pivot Table Title" xfId="24"/>
    <cellStyle name="Pivot Table Value" xfId="25"/>
  </cellStyles>
  <dxfs count="2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2F1C8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059"/>
      <rgbColor rgb="FF339966"/>
      <rgbColor rgb="FF0300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sharedStrings" Target="sharedStrings.xml"/><Relationship Id="rId14" Type="http://schemas.openxmlformats.org/officeDocument/2006/relationships/pivotCacheDefinition" Target="pivotCache/pivotCacheDefinition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66600</xdr:colOff>
      <xdr:row>15</xdr:row>
      <xdr:rowOff>65160</xdr:rowOff>
    </xdr:from>
    <xdr:to>
      <xdr:col>8</xdr:col>
      <xdr:colOff>2370600</xdr:colOff>
      <xdr:row>17</xdr:row>
      <xdr:rowOff>78120</xdr:rowOff>
    </xdr:to>
    <xdr:sp>
      <xdr:nvSpPr>
        <xdr:cNvPr id="0" name="TextBox 2"/>
        <xdr:cNvSpPr/>
      </xdr:nvSpPr>
      <xdr:spPr>
        <a:xfrm>
          <a:off x="7648560" y="3313080"/>
          <a:ext cx="2304000" cy="39420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spAutoFit/>
        </a:bodyPr>
        <a:p>
          <a:pPr algn="ctr">
            <a:lnSpc>
              <a:spcPct val="100000"/>
            </a:lnSpc>
          </a:pPr>
          <a:r>
            <a:rPr b="1" lang="en-US" sz="2400" spc="-1" strike="noStrike">
              <a:solidFill>
                <a:schemeClr val="dk1"/>
              </a:solidFill>
              <a:latin typeface="Aptos Narrow"/>
            </a:rPr>
            <a:t>PRINT</a:t>
          </a:r>
          <a:endParaRPr b="0" lang="en-US" sz="2400" spc="-1" strike="noStrike">
            <a:latin typeface="Times New Roman"/>
          </a:endParaRPr>
        </a:p>
      </xdr:txBody>
    </xdr:sp>
    <xdr:clientData/>
  </xdr:twoCellAnchor>
  <xdr:twoCellAnchor editAs="oneCell">
    <xdr:from>
      <xdr:col>14</xdr:col>
      <xdr:colOff>242640</xdr:colOff>
      <xdr:row>0</xdr:row>
      <xdr:rowOff>314280</xdr:rowOff>
    </xdr:from>
    <xdr:to>
      <xdr:col>17</xdr:col>
      <xdr:colOff>28080</xdr:colOff>
      <xdr:row>13</xdr:row>
      <xdr:rowOff>113040</xdr:rowOff>
    </xdr:to>
    <xdr:sp>
      <xdr:nvSpPr>
        <xdr:cNvPr id="1" name=""/>
        <xdr:cNvSpPr/>
      </xdr:nvSpPr>
      <xdr:spPr>
        <a:xfrm>
          <a:off x="13790880" y="314280"/>
          <a:ext cx="1376280" cy="2665800"/>
        </a:xfrm>
        <a:prstGeom prst="rect">
          <a:avLst/>
        </a:prstGeom>
        <a:solidFill>
          <a:srgbClr val="ffffff"/>
        </a:solidFill>
        <a:ln w="1">
          <a:solidFill>
            <a:srgbClr val="008000"/>
          </a:solidFill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Times New Roman"/>
            </a:rPr>
            <a:t>This shape represents a slicer. Slicers are supported in Excel 2010 or later.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Times New Roman"/>
            </a:rPr>
            <a:t>If the shape was modified in an earlier version of Excel, or if the workbook was saved in Excel 2003 or earlier, the slicer cannot be used.</a:t>
          </a: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98" createdVersion="3">
  <cacheSource type="worksheet">
    <worksheetSource ref="A1:E100" sheet="AUCTION"/>
  </cacheSource>
  <cacheFields count="5">
    <cacheField name="Item Number" numFmtId="0">
      <sharedItems containsString="0" containsBlank="1" containsNumber="1" containsInteger="1" minValue="201" maxValue="914" count="83">
        <n v="201"/>
        <n v="202"/>
        <n v="203"/>
        <n v="204"/>
        <n v="205"/>
        <n v="206"/>
        <n v="207"/>
        <n v="301"/>
        <n v="302"/>
        <n v="303"/>
        <n v="304"/>
        <n v="305"/>
        <n v="306"/>
        <n v="307"/>
        <n v="308"/>
        <n v="309"/>
        <n v="401"/>
        <n v="402"/>
        <n v="403"/>
        <n v="404"/>
        <n v="405"/>
        <n v="406"/>
        <n v="407"/>
        <n v="408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601"/>
        <n v="602"/>
        <n v="603"/>
        <n v="701"/>
        <n v="702"/>
        <n v="703"/>
        <n v="704"/>
        <n v="705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m/>
      </sharedItems>
    </cacheField>
    <cacheField name="Item" numFmtId="0">
      <sharedItems containsBlank="1" count="70">
        <s v="1-Hour Nutrition Tune-Up Service"/>
        <s v="Adirondack Get-away      "/>
        <s v="American Ballet      "/>
        <s v="American Symphony Orchestra     "/>
        <s v="Bangkok Republic"/>
        <s v="Bourbon Tasting"/>
        <s v="Bradford Portraits      "/>
        <s v="Breathing Coordination      "/>
        <s v="Broadway Show!"/>
        <s v="Caramoor       "/>
        <s v="Chamber Music Society of Lincoln Center"/>
        <s v="Choral Conducting Workshop Auditor    "/>
        <s v="Confidential Consultation – Ben Pologe, Ph.D.  "/>
        <s v="Crate of Summer Wines    "/>
        <s v="Exquisite Peacock Needlepoint"/>
        <s v="Family Membership to the Ridgefield Playhouse"/>
        <s v="Golf Outing      "/>
        <s v="Gossett Nursery Gift Card    "/>
        <s v="Gotham Early Music Scene Concert Tickets"/>
        <s v="Historic Hudson Valley     "/>
        <s v="Horse and Hound Inn #1"/>
        <s v="Horse and Hound Inn #2"/>
        <s v="Houseplant Plant Spa gift pack"/>
        <s v="Intercontinental New York Barclay Hotel   "/>
        <s v="Intercontinental Times Square Hotel #1   "/>
        <s v="Intercontinental Times Square Hotel #2   "/>
        <s v="James Bassi - Piano or Composition Lesson"/>
        <s v="Katonah Art and Frame    "/>
        <s v="Kittle House Inn     "/>
        <s v="Le Bernardin      "/>
        <s v="Lincoln Restaurant      "/>
        <s v="Mary Mogil Fitness"/>
        <s v="Mediterranean Booze!"/>
        <s v="Music at St. Thomas    "/>
        <s v="Music Before 1800     "/>
        <s v="Musica Sacra"/>
        <s v="Nikita Galaktionov Piano Recital"/>
        <s v="Orchestra Lumos      "/>
        <s v="ORCHID"/>
        <s v="Organ Lesson – Gregory D’Agostino   "/>
        <s v="Orlando Hilton Hotel     "/>
        <s v="Painting by Tess Dennis    "/>
        <s v="Parthenia Viol Concerts     "/>
        <s v="Pet Portrait"/>
        <s v="Piano Lesson - Will Healy    "/>
        <s v="Portuguese Wine Case     "/>
        <s v="Rosé Tasting w/3 Bottles"/>
        <s v="Seven-night stay at La Mourrade in Provence, France"/>
        <s v="Study with the Maestro    "/>
        <s v="Tea at the Plaza    "/>
        <s v="Thai Massage      "/>
        <s v="The Bunker Hill Inn    "/>
        <s v="The Metropolitan Opera     "/>
        <s v="The New York Philharmonic with Hélenè Grimaud "/>
        <s v="The Orchestra of St. Luke’s   "/>
        <s v="The Ridgefield Symphony     "/>
        <s v="The Symphony of Westchester Tickets"/>
        <s v="Three Bottles of Superior Olive Oil from Portugal"/>
        <s v="Tiffany Daffodil Needlepoint"/>
        <s v="Tour of the Aaron Copland Historic Landmark home"/>
        <s v="Two tickets to the 2025 Bard Music Festival"/>
        <s v="Veuve Cliquot Champagne Brut, with flutes  "/>
        <s v="Veuve Cliquot Champagne Rosé Brut with flutes "/>
        <s v="Voice Lesson or Coaching - Ellen Lang"/>
        <s v="Voice Lessons – Ellen Sisson   "/>
        <s v="Willet Pot Bourbon with glasses   "/>
        <s v="Wine Crate with Select Wines!"/>
        <s v="Yankees Tickets (2)"/>
        <s v="Yankees Tickets (4)"/>
        <m/>
      </sharedItems>
    </cacheField>
    <cacheField name="Winning Bidder" numFmtId="0">
      <sharedItems containsBlank="1" count="25">
        <s v="Andrew McGuire"/>
        <s v="Ann Lauria"/>
        <s v="Belinda Rowsell"/>
        <s v="Brana Williams"/>
        <s v="Dan Feldman"/>
        <s v="Dee McGuire"/>
        <s v="Elaine Feldman"/>
        <s v="Elizabeth Meyer-Gross"/>
        <s v="Frank Perdomo"/>
        <s v="Frannie Kaufman"/>
        <s v="Genti Shehaj"/>
        <s v="Joanie Betz"/>
        <s v="Kevin James"/>
        <s v="Linda Fusco"/>
        <s v="Linda Iacomini"/>
        <s v="Michael Spudic"/>
        <s v="Nan Coffee"/>
        <s v="Peter Gross"/>
        <s v="Stuart Feldman"/>
        <s v="Susan Hupper"/>
        <s v="Susan Morello"/>
        <s v="Sydney Bardsley"/>
        <s v="Xin Chen"/>
        <e v="#N/A"/>
        <m/>
      </sharedItems>
    </cacheField>
    <cacheField name="Winning Bidder Number" numFmtId="0">
      <sharedItems containsBlank="1" containsMixedTypes="1" containsNumber="1" containsInteger="1" minValue="4" maxValue="74" count="44">
        <n v="4"/>
        <n v="6"/>
        <n v="9"/>
        <n v="10"/>
        <n v="14"/>
        <n v="16"/>
        <n v="17"/>
        <n v="18"/>
        <n v="22"/>
        <n v="28"/>
        <n v="29"/>
        <n v="31"/>
        <n v="34"/>
        <n v="36"/>
        <n v="41"/>
        <n v="46"/>
        <n v="48"/>
        <n v="49"/>
        <n v="54"/>
        <n v="60"/>
        <n v="62"/>
        <n v="66"/>
        <n v="74"/>
        <s v=""/>
        <s v="-"/>
        <s v="AD"/>
        <s v="BM"/>
        <s v="BP"/>
        <s v="EL"/>
        <s v="ER"/>
        <s v="ES"/>
        <s v="JP"/>
        <s v="JVM"/>
        <s v="LB"/>
        <s v="LH"/>
        <s v="MG"/>
        <s v="NA"/>
        <s v="PJ"/>
        <s v="PK"/>
        <s v="RS"/>
        <s v="RW"/>
        <s v="SL"/>
        <s v="VR"/>
        <m/>
      </sharedItems>
    </cacheField>
    <cacheField name="Amount" numFmtId="0">
      <sharedItems containsBlank="1" containsMixedTypes="1" containsNumber="1" containsInteger="1" minValue="0" maxValue="4500" count="38">
        <n v="0"/>
        <n v="30"/>
        <n v="35"/>
        <n v="45"/>
        <n v="50"/>
        <n v="55"/>
        <n v="65"/>
        <n v="75"/>
        <n v="80"/>
        <n v="85"/>
        <n v="90"/>
        <n v="95"/>
        <n v="100"/>
        <n v="105"/>
        <n v="110"/>
        <n v="115"/>
        <n v="120"/>
        <n v="125"/>
        <n v="130"/>
        <n v="135"/>
        <n v="145"/>
        <n v="150"/>
        <n v="170"/>
        <n v="175"/>
        <n v="180"/>
        <n v="200"/>
        <n v="210"/>
        <n v="235"/>
        <n v="250"/>
        <n v="275"/>
        <n v="325"/>
        <n v="350"/>
        <n v="550"/>
        <n v="700"/>
        <n v="1050"/>
        <n v="4500"/>
        <s v="-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8">
  <r>
    <x v="0"/>
    <x v="1"/>
    <x v="6"/>
    <x v="4"/>
    <x v="33"/>
  </r>
  <r>
    <x v="1"/>
    <x v="51"/>
    <x v="17"/>
    <x v="8"/>
    <x v="24"/>
  </r>
  <r>
    <x v="2"/>
    <x v="23"/>
    <x v="23"/>
    <x v="31"/>
    <x v="32"/>
  </r>
  <r>
    <x v="3"/>
    <x v="24"/>
    <x v="4"/>
    <x v="5"/>
    <x v="32"/>
  </r>
  <r>
    <x v="4"/>
    <x v="25"/>
    <x v="19"/>
    <x v="9"/>
    <x v="32"/>
  </r>
  <r>
    <x v="5"/>
    <x v="40"/>
    <x v="14"/>
    <x v="10"/>
    <x v="34"/>
  </r>
  <r>
    <x v="6"/>
    <x v="47"/>
    <x v="23"/>
    <x v="32"/>
    <x v="35"/>
  </r>
  <r>
    <x v="7"/>
    <x v="61"/>
    <x v="10"/>
    <x v="20"/>
    <x v="10"/>
  </r>
  <r>
    <x v="8"/>
    <x v="62"/>
    <x v="10"/>
    <x v="20"/>
    <x v="10"/>
  </r>
  <r>
    <x v="9"/>
    <x v="13"/>
    <x v="23"/>
    <x v="34"/>
    <x v="21"/>
  </r>
  <r>
    <x v="10"/>
    <x v="65"/>
    <x v="10"/>
    <x v="20"/>
    <x v="21"/>
  </r>
  <r>
    <x v="11"/>
    <x v="45"/>
    <x v="22"/>
    <x v="2"/>
    <x v="27"/>
  </r>
  <r>
    <x v="12"/>
    <x v="5"/>
    <x v="10"/>
    <x v="20"/>
    <x v="26"/>
  </r>
  <r>
    <x v="13"/>
    <x v="66"/>
    <x v="23"/>
    <x v="41"/>
    <x v="20"/>
  </r>
  <r>
    <x v="14"/>
    <x v="32"/>
    <x v="10"/>
    <x v="20"/>
    <x v="3"/>
  </r>
  <r>
    <x v="15"/>
    <x v="46"/>
    <x v="13"/>
    <x v="7"/>
    <x v="5"/>
  </r>
  <r>
    <x v="16"/>
    <x v="28"/>
    <x v="14"/>
    <x v="10"/>
    <x v="18"/>
  </r>
  <r>
    <x v="17"/>
    <x v="20"/>
    <x v="7"/>
    <x v="16"/>
    <x v="8"/>
  </r>
  <r>
    <x v="18"/>
    <x v="21"/>
    <x v="23"/>
    <x v="28"/>
    <x v="10"/>
  </r>
  <r>
    <x v="19"/>
    <x v="29"/>
    <x v="19"/>
    <x v="9"/>
    <x v="30"/>
  </r>
  <r>
    <x v="20"/>
    <x v="30"/>
    <x v="23"/>
    <x v="30"/>
    <x v="29"/>
  </r>
  <r>
    <x v="21"/>
    <x v="49"/>
    <x v="23"/>
    <x v="31"/>
    <x v="20"/>
  </r>
  <r>
    <x v="22"/>
    <x v="57"/>
    <x v="12"/>
    <x v="11"/>
    <x v="13"/>
  </r>
  <r>
    <x v="23"/>
    <x v="4"/>
    <x v="23"/>
    <x v="31"/>
    <x v="8"/>
  </r>
  <r>
    <x v="24"/>
    <x v="2"/>
    <x v="23"/>
    <x v="41"/>
    <x v="19"/>
  </r>
  <r>
    <x v="25"/>
    <x v="3"/>
    <x v="11"/>
    <x v="1"/>
    <x v="4"/>
  </r>
  <r>
    <x v="26"/>
    <x v="9"/>
    <x v="7"/>
    <x v="16"/>
    <x v="14"/>
  </r>
  <r>
    <x v="27"/>
    <x v="53"/>
    <x v="15"/>
    <x v="21"/>
    <x v="28"/>
  </r>
  <r>
    <x v="28"/>
    <x v="52"/>
    <x v="23"/>
    <x v="26"/>
    <x v="29"/>
  </r>
  <r>
    <x v="29"/>
    <x v="34"/>
    <x v="23"/>
    <x v="30"/>
    <x v="7"/>
  </r>
  <r>
    <x v="30"/>
    <x v="37"/>
    <x v="7"/>
    <x v="16"/>
    <x v="17"/>
  </r>
  <r>
    <x v="31"/>
    <x v="42"/>
    <x v="6"/>
    <x v="4"/>
    <x v="7"/>
  </r>
  <r>
    <x v="32"/>
    <x v="54"/>
    <x v="16"/>
    <x v="3"/>
    <x v="5"/>
  </r>
  <r>
    <x v="33"/>
    <x v="55"/>
    <x v="23"/>
    <x v="35"/>
    <x v="4"/>
  </r>
  <r>
    <x v="34"/>
    <x v="33"/>
    <x v="16"/>
    <x v="3"/>
    <x v="11"/>
  </r>
  <r>
    <x v="35"/>
    <x v="18"/>
    <x v="23"/>
    <x v="24"/>
    <x v="36"/>
  </r>
  <r>
    <x v="36"/>
    <x v="35"/>
    <x v="23"/>
    <x v="27"/>
    <x v="9"/>
  </r>
  <r>
    <x v="37"/>
    <x v="56"/>
    <x v="6"/>
    <x v="4"/>
    <x v="12"/>
  </r>
  <r>
    <x v="38"/>
    <x v="10"/>
    <x v="23"/>
    <x v="40"/>
    <x v="7"/>
  </r>
  <r>
    <x v="39"/>
    <x v="8"/>
    <x v="23"/>
    <x v="33"/>
    <x v="26"/>
  </r>
  <r>
    <x v="40"/>
    <x v="36"/>
    <x v="23"/>
    <x v="24"/>
    <x v="36"/>
  </r>
  <r>
    <x v="41"/>
    <x v="60"/>
    <x v="23"/>
    <x v="36"/>
    <x v="6"/>
  </r>
  <r>
    <x v="42"/>
    <x v="15"/>
    <x v="23"/>
    <x v="38"/>
    <x v="9"/>
  </r>
  <r>
    <x v="43"/>
    <x v="16"/>
    <x v="21"/>
    <x v="0"/>
    <x v="31"/>
  </r>
  <r>
    <x v="44"/>
    <x v="68"/>
    <x v="0"/>
    <x v="14"/>
    <x v="25"/>
  </r>
  <r>
    <x v="45"/>
    <x v="67"/>
    <x v="23"/>
    <x v="39"/>
    <x v="23"/>
  </r>
  <r>
    <x v="46"/>
    <x v="41"/>
    <x v="3"/>
    <x v="22"/>
    <x v="22"/>
  </r>
  <r>
    <x v="47"/>
    <x v="27"/>
    <x v="23"/>
    <x v="29"/>
    <x v="2"/>
  </r>
  <r>
    <x v="48"/>
    <x v="58"/>
    <x v="10"/>
    <x v="20"/>
    <x v="25"/>
  </r>
  <r>
    <x v="49"/>
    <x v="14"/>
    <x v="10"/>
    <x v="20"/>
    <x v="25"/>
  </r>
  <r>
    <x v="50"/>
    <x v="43"/>
    <x v="19"/>
    <x v="9"/>
    <x v="22"/>
  </r>
  <r>
    <x v="51"/>
    <x v="6"/>
    <x v="10"/>
    <x v="20"/>
    <x v="31"/>
  </r>
  <r>
    <x v="52"/>
    <x v="7"/>
    <x v="23"/>
    <x v="37"/>
    <x v="22"/>
  </r>
  <r>
    <x v="53"/>
    <x v="11"/>
    <x v="23"/>
    <x v="24"/>
    <x v="36"/>
  </r>
  <r>
    <x v="54"/>
    <x v="39"/>
    <x v="23"/>
    <x v="24"/>
    <x v="36"/>
  </r>
  <r>
    <x v="55"/>
    <x v="12"/>
    <x v="1"/>
    <x v="13"/>
    <x v="7"/>
  </r>
  <r>
    <x v="56"/>
    <x v="17"/>
    <x v="1"/>
    <x v="13"/>
    <x v="16"/>
  </r>
  <r>
    <x v="57"/>
    <x v="44"/>
    <x v="23"/>
    <x v="24"/>
    <x v="36"/>
  </r>
  <r>
    <x v="58"/>
    <x v="19"/>
    <x v="5"/>
    <x v="15"/>
    <x v="9"/>
  </r>
  <r>
    <x v="59"/>
    <x v="48"/>
    <x v="23"/>
    <x v="25"/>
    <x v="19"/>
  </r>
  <r>
    <x v="60"/>
    <x v="50"/>
    <x v="20"/>
    <x v="17"/>
    <x v="9"/>
  </r>
  <r>
    <x v="61"/>
    <x v="64"/>
    <x v="23"/>
    <x v="37"/>
    <x v="9"/>
  </r>
  <r>
    <x v="62"/>
    <x v="63"/>
    <x v="18"/>
    <x v="6"/>
    <x v="7"/>
  </r>
  <r>
    <x v="63"/>
    <x v="59"/>
    <x v="19"/>
    <x v="9"/>
    <x v="4"/>
  </r>
  <r>
    <x v="64"/>
    <x v="22"/>
    <x v="1"/>
    <x v="13"/>
    <x v="1"/>
  </r>
  <r>
    <x v="65"/>
    <x v="31"/>
    <x v="2"/>
    <x v="19"/>
    <x v="15"/>
  </r>
  <r>
    <x v="66"/>
    <x v="0"/>
    <x v="23"/>
    <x v="24"/>
    <x v="36"/>
  </r>
  <r>
    <x v="67"/>
    <x v="26"/>
    <x v="23"/>
    <x v="42"/>
    <x v="8"/>
  </r>
  <r>
    <x v="68"/>
    <x v="38"/>
    <x v="9"/>
    <x v="12"/>
    <x v="2"/>
  </r>
  <r>
    <x v="69"/>
    <x v="38"/>
    <x v="18"/>
    <x v="6"/>
    <x v="2"/>
  </r>
  <r>
    <x v="70"/>
    <x v="38"/>
    <x v="23"/>
    <x v="23"/>
    <x v="0"/>
  </r>
  <r>
    <x v="71"/>
    <x v="38"/>
    <x v="8"/>
    <x v="18"/>
    <x v="2"/>
  </r>
  <r>
    <x v="72"/>
    <x v="38"/>
    <x v="23"/>
    <x v="23"/>
    <x v="0"/>
  </r>
  <r>
    <x v="73"/>
    <x v="38"/>
    <x v="23"/>
    <x v="23"/>
    <x v="0"/>
  </r>
  <r>
    <x v="74"/>
    <x v="38"/>
    <x v="23"/>
    <x v="23"/>
    <x v="0"/>
  </r>
  <r>
    <x v="75"/>
    <x v="38"/>
    <x v="23"/>
    <x v="23"/>
    <x v="0"/>
  </r>
  <r>
    <x v="76"/>
    <x v="38"/>
    <x v="23"/>
    <x v="23"/>
    <x v="0"/>
  </r>
  <r>
    <x v="77"/>
    <x v="38"/>
    <x v="23"/>
    <x v="23"/>
    <x v="0"/>
  </r>
  <r>
    <x v="78"/>
    <x v="38"/>
    <x v="1"/>
    <x v="13"/>
    <x v="2"/>
  </r>
  <r>
    <x v="79"/>
    <x v="38"/>
    <x v="16"/>
    <x v="3"/>
    <x v="2"/>
  </r>
  <r>
    <x v="80"/>
    <x v="38"/>
    <x v="19"/>
    <x v="9"/>
    <x v="2"/>
  </r>
  <r>
    <x v="81"/>
    <x v="38"/>
    <x v="19"/>
    <x v="9"/>
    <x v="2"/>
  </r>
  <r>
    <x v="82"/>
    <x v="69"/>
    <x v="24"/>
    <x v="43"/>
    <x v="37"/>
  </r>
  <r>
    <x v="82"/>
    <x v="69"/>
    <x v="24"/>
    <x v="43"/>
    <x v="37"/>
  </r>
  <r>
    <x v="82"/>
    <x v="69"/>
    <x v="24"/>
    <x v="43"/>
    <x v="37"/>
  </r>
  <r>
    <x v="82"/>
    <x v="69"/>
    <x v="24"/>
    <x v="43"/>
    <x v="37"/>
  </r>
  <r>
    <x v="82"/>
    <x v="69"/>
    <x v="24"/>
    <x v="43"/>
    <x v="37"/>
  </r>
  <r>
    <x v="82"/>
    <x v="69"/>
    <x v="24"/>
    <x v="43"/>
    <x v="37"/>
  </r>
  <r>
    <x v="82"/>
    <x v="69"/>
    <x v="24"/>
    <x v="23"/>
    <x v="37"/>
  </r>
  <r>
    <x v="82"/>
    <x v="69"/>
    <x v="24"/>
    <x v="23"/>
    <x v="37"/>
  </r>
  <r>
    <x v="82"/>
    <x v="69"/>
    <x v="24"/>
    <x v="23"/>
    <x v="37"/>
  </r>
  <r>
    <x v="82"/>
    <x v="69"/>
    <x v="24"/>
    <x v="23"/>
    <x v="37"/>
  </r>
  <r>
    <x v="82"/>
    <x v="69"/>
    <x v="24"/>
    <x v="23"/>
    <x v="37"/>
  </r>
  <r>
    <x v="82"/>
    <x v="69"/>
    <x v="24"/>
    <x v="23"/>
    <x v="37"/>
  </r>
  <r>
    <x v="82"/>
    <x v="69"/>
    <x v="24"/>
    <x v="23"/>
    <x v="37"/>
  </r>
  <r>
    <x v="82"/>
    <x v="69"/>
    <x v="24"/>
    <x v="23"/>
    <x v="37"/>
  </r>
  <r>
    <x v="82"/>
    <x v="69"/>
    <x v="24"/>
    <x v="23"/>
    <x v="37"/>
  </r>
  <r>
    <x v="82"/>
    <x v="69"/>
    <x v="24"/>
    <x v="23"/>
    <x v="37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le6" cacheId="1" applyNumberFormats="0" applyBorderFormats="0" applyFontFormats="0" applyPatternFormats="0" applyAlignmentFormats="0" applyWidthHeightFormats="0" dataCaption="Values" showDrill="0" useAutoFormatting="0" itemPrintTitles="1" indent="0" outline="1" outlineData="1" compact="1" compactData="1">
  <location ref="I4:K10" firstHeaderRow="1" firstDataRow="2" firstDataCol="1" rowPageCount="1" colPageCount="1"/>
  <pivotFields count="5">
    <pivotField dataField="1" showAll="0"/>
    <pivotField axis="axisRow" showAll="0">
      <items count="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t="default"/>
      </items>
    </pivotField>
    <pivotField showAll="0"/>
    <pivotField axis="axisPage" showAll="0" defaultSubtotal="0">
      <items count="44">
        <item h="1" x="4"/>
        <item h="1" x="8"/>
        <item h="1" x="31"/>
        <item h="1" x="5"/>
        <item h="1" x="9"/>
        <item x="10"/>
        <item h="1" x="32"/>
        <item h="1" x="20"/>
        <item h="1" x="34"/>
        <item h="1" x="2"/>
        <item h="1" x="41"/>
        <item h="1" x="7"/>
        <item h="1" x="16"/>
        <item h="1" x="28"/>
        <item h="1" x="30"/>
        <item h="1" x="11"/>
        <item h="1" x="1"/>
        <item h="1" x="21"/>
        <item h="1" x="26"/>
        <item h="1" x="3"/>
        <item h="1" x="35"/>
        <item h="1" x="24"/>
        <item h="1" x="27"/>
        <item h="1" x="40"/>
        <item h="1" x="33"/>
        <item h="1" x="36"/>
        <item h="1" x="38"/>
        <item h="1" x="0"/>
        <item h="1" x="14"/>
        <item h="1" x="39"/>
        <item h="1" x="22"/>
        <item h="1" x="29"/>
        <item h="1" x="37"/>
        <item h="1" x="13"/>
        <item h="1" x="15"/>
        <item h="1" x="25"/>
        <item h="1" x="17"/>
        <item h="1" x="6"/>
        <item h="1" x="19"/>
        <item h="1" x="42"/>
        <item h="1" x="12"/>
        <item h="1" x="23"/>
        <item h="1" x="18"/>
        <item h="1" x="43"/>
      </items>
    </pivotField>
    <pivotField dataField="1" showAll="0"/>
  </pivotFields>
  <rowFields count="1">
    <field x="1"/>
  </rowFields>
  <colFields count="1">
    <field x="-2"/>
  </colFields>
  <pageFields count="1">
    <pageField fld="3" hier="-1"/>
  </pageFields>
  <dataFields count="2">
    <dataField name="Item Amount" fld="4" subtotal="sum" numFmtId="165"/>
    <dataField name="Auction Item" fld="0" subtotal="sum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Guests" displayName="Guests" ref="A1:G76" headerRowCount="1" totalsRowCount="0" totalsRowShown="0">
  <autoFilter ref="A1:G76"/>
  <tableColumns count="7">
    <tableColumn id="1" name="FIRST &amp; LAST NAME"/>
    <tableColumn id="2" name="LAST NAME"/>
    <tableColumn id="3" name="FIRST NAME"/>
    <tableColumn id="4" name="TABLE #"/>
    <tableColumn id="5" name="BIDDER #"/>
    <tableColumn id="6" name="LAST CAPS"/>
    <tableColumn id="7" name="FIRST &amp; LAST NAME - Copy"/>
  </tableColumns>
</table>
</file>

<file path=xl/tables/table2.xml><?xml version="1.0" encoding="utf-8"?>
<table xmlns="http://schemas.openxmlformats.org/spreadsheetml/2006/main" id="2" name="Items" displayName="Items" ref="A1:B83" headerRowCount="1" totalsRowCount="0" totalsRowShown="0">
  <autoFilter ref="A1:B83"/>
  <tableColumns count="2">
    <tableColumn id="1" name="Item #"/>
    <tableColumn id="2" name="Item Name"/>
  </tableColumns>
</table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28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H2" activeCellId="0" sqref="H2"/>
    </sheetView>
  </sheetViews>
  <sheetFormatPr defaultColWidth="8.79296875" defaultRowHeight="15" zeroHeight="false" outlineLevelRow="0" outlineLevelCol="0"/>
  <cols>
    <col collapsed="false" customWidth="true" hidden="false" outlineLevel="0" max="1" min="1" style="1" width="8.42"/>
    <col collapsed="false" customWidth="true" hidden="false" outlineLevel="0" max="2" min="2" style="1" width="46.85"/>
    <col collapsed="false" customWidth="true" hidden="false" outlineLevel="0" max="3" min="3" style="1" width="22.42"/>
    <col collapsed="false" customWidth="true" hidden="false" outlineLevel="0" max="4" min="4" style="2" width="8.28"/>
    <col collapsed="false" customWidth="true" hidden="false" outlineLevel="0" max="5" min="5" style="3" width="10.14"/>
    <col collapsed="false" customWidth="true" hidden="false" outlineLevel="0" max="6" min="6" style="1" width="6.28"/>
    <col collapsed="false" customWidth="true" hidden="false" outlineLevel="0" max="7" min="7" style="1" width="12.57"/>
    <col collapsed="false" customWidth="true" hidden="false" outlineLevel="0" max="8" min="8" style="1" width="10.72"/>
    <col collapsed="false" customWidth="true" hidden="false" outlineLevel="0" max="9" min="9" style="1" width="43.57"/>
    <col collapsed="false" customWidth="true" hidden="false" outlineLevel="0" max="10" min="10" style="1" width="12.57"/>
    <col collapsed="false" customWidth="true" hidden="false" outlineLevel="0" max="12" min="11" style="1" width="12.42"/>
    <col collapsed="false" customWidth="true" hidden="false" outlineLevel="0" max="13" min="13" style="4" width="9.14"/>
  </cols>
  <sheetData>
    <row r="1" customFormat="false" ht="45.75" hidden="false" customHeight="true" outlineLevel="0" collapsed="false">
      <c r="A1" s="5" t="s">
        <v>0</v>
      </c>
      <c r="B1" s="6" t="s">
        <v>1</v>
      </c>
      <c r="C1" s="6" t="s">
        <v>2</v>
      </c>
      <c r="D1" s="5" t="s">
        <v>3</v>
      </c>
      <c r="E1" s="7" t="s">
        <v>4</v>
      </c>
      <c r="F1" s="8" t="s">
        <v>5</v>
      </c>
      <c r="I1" s="9"/>
      <c r="M1" s="4" t="n">
        <v>201</v>
      </c>
      <c r="N1" s="10" t="s">
        <v>1</v>
      </c>
    </row>
    <row r="2" customFormat="false" ht="15" hidden="false" customHeight="false" outlineLevel="0" collapsed="false">
      <c r="A2" s="1" t="n">
        <f aca="false">Items[[#This Row],[Item '#]]</f>
        <v>201</v>
      </c>
      <c r="B2" s="1" t="str">
        <f aca="false">Items[[#This Row],[Item Name]]</f>
        <v>Adirondack Get-away      </v>
      </c>
      <c r="C2" s="1" t="str">
        <f aca="false">VLOOKUP(D2,Guests[[BIDDER '#]:[FIRST &amp; LAST NAME - Copy]],3,0)</f>
        <v>Elaine Feldman</v>
      </c>
      <c r="D2" s="2" t="n">
        <f aca="true" t="array" ref="D2:D2">IF(INDIRECT(ADDRESS((ROW(A2)-2)*3+2,13))=0,"",INDIRECT(ADDRESS((ROW(A2)-2)*3+2,13)))</f>
        <v>14</v>
      </c>
      <c r="E2" s="3" t="n">
        <f aca="true" t="array" ref="E2:E2">INDIRECT(ADDRESS((ROW(C2)-2)*3+3,13))</f>
        <v>700</v>
      </c>
      <c r="F2" s="11" t="b">
        <f aca="false">IF(D2=$J$2,TRUE(),FALSE())</f>
        <v>0</v>
      </c>
      <c r="I2" s="12" t="s">
        <v>3</v>
      </c>
      <c r="J2" s="13" t="s">
        <v>6</v>
      </c>
      <c r="K2" s="0"/>
      <c r="M2" s="14" t="n">
        <v>14</v>
      </c>
      <c r="N2" s="10" t="s">
        <v>7</v>
      </c>
    </row>
    <row r="3" customFormat="false" ht="15" hidden="false" customHeight="false" outlineLevel="0" collapsed="false">
      <c r="A3" s="1" t="n">
        <f aca="false">Items[[#This Row],[Item '#]]</f>
        <v>202</v>
      </c>
      <c r="B3" s="1" t="str">
        <f aca="false">Items[[#This Row],[Item Name]]</f>
        <v>The Bunker Hill Inn    </v>
      </c>
      <c r="C3" s="1" t="str">
        <f aca="false">VLOOKUP(D3,Guests[[BIDDER '#]:[FIRST &amp; LAST NAME - Copy]],3,0)</f>
        <v>Peter Gross</v>
      </c>
      <c r="D3" s="2" t="n">
        <f aca="true" t="array" ref="D3:D3">IF(INDIRECT(ADDRESS((ROW(A3)-2)*3+2,13))=0,"",INDIRECT(ADDRESS((ROW(A3)-2)*3+2,13)))</f>
        <v>22</v>
      </c>
      <c r="E3" s="3" t="n">
        <f aca="true" t="array" ref="E3:E3">INDIRECT(ADDRESS((ROW(C3)-2)*3+3,13))</f>
        <v>180</v>
      </c>
      <c r="F3" s="11" t="b">
        <f aca="false">IF(D3=$J$2,TRUE(),FALSE())</f>
        <v>0</v>
      </c>
      <c r="I3" s="0"/>
      <c r="J3" s="0"/>
      <c r="K3" s="0"/>
      <c r="M3" s="14" t="n">
        <v>700</v>
      </c>
      <c r="N3" s="10" t="s">
        <v>8</v>
      </c>
    </row>
    <row r="4" customFormat="false" ht="15" hidden="false" customHeight="false" outlineLevel="0" collapsed="false">
      <c r="A4" s="1" t="n">
        <f aca="false">Items[[#This Row],[Item '#]]</f>
        <v>203</v>
      </c>
      <c r="B4" s="1" t="str">
        <f aca="false">Items[[#This Row],[Item Name]]</f>
        <v>Intercontinental New York Barclay Hotel   </v>
      </c>
      <c r="C4" s="1" t="e">
        <f aca="false">VLOOKUP(D4,Guests[[BIDDER '#]:[FIRST &amp; LAST NAME - Copy]],3,0)</f>
        <v>#N/A</v>
      </c>
      <c r="D4" s="2" t="n">
        <v>1003</v>
      </c>
      <c r="E4" s="3" t="n">
        <f aca="true" t="array" ref="E4:E4">INDIRECT(ADDRESS((ROW(C4)-2)*3+3,13))</f>
        <v>550</v>
      </c>
      <c r="F4" s="11" t="b">
        <f aca="false">IF(D4=$J$2,TRUE(),FALSE())</f>
        <v>0</v>
      </c>
      <c r="I4" s="15"/>
      <c r="J4" s="16" t="s">
        <v>9</v>
      </c>
      <c r="K4" s="17"/>
      <c r="M4" s="4" t="n">
        <v>202</v>
      </c>
      <c r="N4" s="10" t="s">
        <v>1</v>
      </c>
    </row>
    <row r="5" customFormat="false" ht="15" hidden="false" customHeight="false" outlineLevel="0" collapsed="false">
      <c r="A5" s="1" t="n">
        <f aca="false">Items[[#This Row],[Item '#]]</f>
        <v>204</v>
      </c>
      <c r="B5" s="1" t="str">
        <f aca="false">Items[[#This Row],[Item Name]]</f>
        <v>Intercontinental Times Square Hotel #1   </v>
      </c>
      <c r="C5" s="1" t="str">
        <f aca="false">VLOOKUP(D5,Guests[[BIDDER '#]:[FIRST &amp; LAST NAME - Copy]],3,0)</f>
        <v>Dan Feldman</v>
      </c>
      <c r="D5" s="2" t="n">
        <f aca="true" t="array" ref="D5:D5">IF(INDIRECT(ADDRESS((ROW(A5)-2)*3+2,13))=0,"",INDIRECT(ADDRESS((ROW(A5)-2)*3+2,13)))</f>
        <v>16</v>
      </c>
      <c r="E5" s="3" t="n">
        <f aca="true" t="array" ref="E5:E5">INDIRECT(ADDRESS((ROW(C5)-2)*3+3,13))</f>
        <v>550</v>
      </c>
      <c r="F5" s="11" t="b">
        <f aca="false">IF(D5=$J$2,TRUE(),FALSE())</f>
        <v>0</v>
      </c>
      <c r="I5" s="18" t="s">
        <v>1</v>
      </c>
      <c r="J5" s="19" t="s">
        <v>10</v>
      </c>
      <c r="K5" s="20" t="s">
        <v>11</v>
      </c>
      <c r="M5" s="14" t="n">
        <v>22</v>
      </c>
      <c r="N5" s="10" t="s">
        <v>7</v>
      </c>
    </row>
    <row r="6" customFormat="false" ht="15" hidden="false" customHeight="false" outlineLevel="0" collapsed="false">
      <c r="A6" s="1" t="n">
        <f aca="false">Items[[#This Row],[Item '#]]</f>
        <v>205</v>
      </c>
      <c r="B6" s="1" t="str">
        <f aca="false">Items[[#This Row],[Item Name]]</f>
        <v>Intercontinental Times Square Hotel #2   </v>
      </c>
      <c r="C6" s="1" t="str">
        <f aca="false">VLOOKUP(D6,Guests[[BIDDER '#]:[FIRST &amp; LAST NAME - Copy]],3,0)</f>
        <v>Susan Hupper</v>
      </c>
      <c r="D6" s="2" t="n">
        <f aca="true" t="array" ref="D6:D6">IF(INDIRECT(ADDRESS((ROW(A6)-2)*3+2,13))=0,"",INDIRECT(ADDRESS((ROW(A6)-2)*3+2,13)))</f>
        <v>28</v>
      </c>
      <c r="E6" s="3" t="n">
        <f aca="true" t="array" ref="E6:E6">INDIRECT(ADDRESS((ROW(C6)-2)*3+3,13))</f>
        <v>550</v>
      </c>
      <c r="F6" s="11" t="b">
        <f aca="false">IF(D6=$J$2,TRUE(),FALSE())</f>
        <v>0</v>
      </c>
      <c r="I6" s="21" t="s">
        <v>12</v>
      </c>
      <c r="J6" s="22" t="n">
        <v>130</v>
      </c>
      <c r="K6" s="23" t="n">
        <v>401</v>
      </c>
      <c r="M6" s="14" t="n">
        <v>180</v>
      </c>
      <c r="N6" s="10" t="s">
        <v>8</v>
      </c>
    </row>
    <row r="7" customFormat="false" ht="15" hidden="false" customHeight="false" outlineLevel="0" collapsed="false">
      <c r="A7" s="1" t="n">
        <f aca="false">Items[[#This Row],[Item '#]]</f>
        <v>206</v>
      </c>
      <c r="B7" s="1" t="str">
        <f aca="false">Items[[#This Row],[Item Name]]</f>
        <v>Orlando Hilton Hotel     </v>
      </c>
      <c r="C7" s="1" t="str">
        <f aca="false">VLOOKUP(D7,Guests[[BIDDER '#]:[FIRST &amp; LAST NAME - Copy]],3,0)</f>
        <v>Linda Iacomini</v>
      </c>
      <c r="D7" s="2" t="n">
        <f aca="true" t="array" ref="D7:D7">IF(INDIRECT(ADDRESS((ROW(A7)-2)*3+2,13))=0,"",INDIRECT(ADDRESS((ROW(A7)-2)*3+2,13)))</f>
        <v>29</v>
      </c>
      <c r="E7" s="3" t="n">
        <f aca="true" t="array" ref="E7:E7">INDIRECT(ADDRESS((ROW(C7)-2)*3+3,13))</f>
        <v>1050</v>
      </c>
      <c r="F7" s="11" t="b">
        <f aca="false">IF(D7=$J$2,TRUE(),FALSE())</f>
        <v>0</v>
      </c>
      <c r="I7" s="24" t="s">
        <v>13</v>
      </c>
      <c r="J7" s="25" t="n">
        <v>0</v>
      </c>
      <c r="K7" s="26" t="n">
        <v>6348</v>
      </c>
      <c r="M7" s="4" t="n">
        <v>203</v>
      </c>
      <c r="N7" s="10" t="s">
        <v>1</v>
      </c>
    </row>
    <row r="8" customFormat="false" ht="15" hidden="false" customHeight="false" outlineLevel="0" collapsed="false">
      <c r="A8" s="1" t="n">
        <f aca="false">Items[[#This Row],[Item '#]]</f>
        <v>207</v>
      </c>
      <c r="B8" s="1" t="str">
        <f aca="false">Items[[#This Row],[Item Name]]</f>
        <v>Seven-night stay at La Mourrade in Provence, France</v>
      </c>
      <c r="C8" s="1" t="e">
        <f aca="false">VLOOKUP(D8,Guests[[BIDDER '#]:[FIRST &amp; LAST NAME - Copy]],3,0)</f>
        <v>#N/A</v>
      </c>
      <c r="D8" s="2" t="n">
        <v>1005</v>
      </c>
      <c r="E8" s="3" t="n">
        <f aca="true" t="array" ref="E8:E8">INDIRECT(ADDRESS((ROW(C8)-2)*3+3,13))</f>
        <v>4500</v>
      </c>
      <c r="F8" s="11" t="b">
        <f aca="false">IF(D8=$J$2,TRUE(),FALSE())</f>
        <v>0</v>
      </c>
      <c r="I8" s="24" t="s">
        <v>14</v>
      </c>
      <c r="J8" s="25" t="n">
        <v>1050</v>
      </c>
      <c r="K8" s="26" t="n">
        <v>206</v>
      </c>
      <c r="M8" s="14" t="s">
        <v>15</v>
      </c>
      <c r="N8" s="10" t="s">
        <v>7</v>
      </c>
    </row>
    <row r="9" customFormat="false" ht="15" hidden="false" customHeight="false" outlineLevel="0" collapsed="false">
      <c r="A9" s="1" t="n">
        <f aca="false">Items[[#This Row],[Item '#]]</f>
        <v>301</v>
      </c>
      <c r="B9" s="1" t="str">
        <f aca="false">Items[[#This Row],[Item Name]]</f>
        <v>Veuve Cliquot Champagne Brut, with flutes  </v>
      </c>
      <c r="C9" s="1" t="str">
        <f aca="false">VLOOKUP(D9,Guests[[BIDDER '#]:[FIRST &amp; LAST NAME - Copy]],3,0)</f>
        <v>Genti Shehaj</v>
      </c>
      <c r="D9" s="2" t="n">
        <f aca="true" t="array" ref="D9:D9">IF(INDIRECT(ADDRESS((ROW(A9)-2)*3+2,13))=0,"",INDIRECT(ADDRESS((ROW(A9)-2)*3+2,13)))</f>
        <v>62</v>
      </c>
      <c r="E9" s="3" t="n">
        <f aca="true" t="array" ref="E9:E9">INDIRECT(ADDRESS((ROW(C9)-2)*3+3,13))</f>
        <v>90</v>
      </c>
      <c r="F9" s="11" t="b">
        <f aca="false">IF(D9=$J$2,TRUE(),FALSE())</f>
        <v>0</v>
      </c>
      <c r="I9" s="24" t="s">
        <v>16</v>
      </c>
      <c r="J9" s="27"/>
      <c r="K9" s="28"/>
      <c r="M9" s="14" t="n">
        <v>550</v>
      </c>
      <c r="N9" s="10" t="s">
        <v>8</v>
      </c>
    </row>
    <row r="10" customFormat="false" ht="15" hidden="false" customHeight="false" outlineLevel="0" collapsed="false">
      <c r="A10" s="1" t="n">
        <f aca="false">Items[[#This Row],[Item '#]]</f>
        <v>302</v>
      </c>
      <c r="B10" s="1" t="str">
        <f aca="false">Items[[#This Row],[Item Name]]</f>
        <v>Veuve Cliquot Champagne Rosé Brut with flutes </v>
      </c>
      <c r="C10" s="1" t="str">
        <f aca="false">VLOOKUP(D10,Guests[[BIDDER '#]:[FIRST &amp; LAST NAME - Copy]],3,0)</f>
        <v>Genti Shehaj</v>
      </c>
      <c r="D10" s="2" t="n">
        <f aca="true" t="array" ref="D10:D10">IF(INDIRECT(ADDRESS((ROW(A10)-2)*3+2,13))=0,"",INDIRECT(ADDRESS((ROW(A10)-2)*3+2,13)))</f>
        <v>62</v>
      </c>
      <c r="E10" s="3" t="n">
        <f aca="true" t="array" ref="E10:E10">INDIRECT(ADDRESS((ROW(C10)-2)*3+3,13))</f>
        <v>90</v>
      </c>
      <c r="F10" s="11" t="b">
        <f aca="false">IF(D10=$J$2,TRUE(),FALSE())</f>
        <v>0</v>
      </c>
      <c r="I10" s="29" t="s">
        <v>17</v>
      </c>
      <c r="J10" s="30" t="n">
        <v>1180</v>
      </c>
      <c r="K10" s="31" t="n">
        <v>6955</v>
      </c>
      <c r="M10" s="4" t="n">
        <v>204</v>
      </c>
      <c r="N10" s="10" t="s">
        <v>1</v>
      </c>
    </row>
    <row r="11" customFormat="false" ht="15" hidden="false" customHeight="false" outlineLevel="0" collapsed="false">
      <c r="A11" s="1" t="n">
        <f aca="false">Items[[#This Row],[Item '#]]</f>
        <v>303</v>
      </c>
      <c r="B11" s="1" t="str">
        <f aca="false">Items[[#This Row],[Item Name]]</f>
        <v>Crate of Summer Wines    </v>
      </c>
      <c r="C11" s="1" t="e">
        <f aca="false">VLOOKUP(D11,Guests[[BIDDER '#]:[FIRST &amp; LAST NAME - Copy]],3,0)</f>
        <v>#N/A</v>
      </c>
      <c r="D11" s="2" t="n">
        <v>1006</v>
      </c>
      <c r="E11" s="3" t="n">
        <f aca="true" t="array" ref="E11:E11">INDIRECT(ADDRESS((ROW(C11)-2)*3+3,13))</f>
        <v>150</v>
      </c>
      <c r="F11" s="11" t="b">
        <f aca="false">IF(D11=$J$2,TRUE(),FALSE())</f>
        <v>0</v>
      </c>
      <c r="M11" s="14" t="n">
        <v>16</v>
      </c>
      <c r="N11" s="10" t="s">
        <v>7</v>
      </c>
    </row>
    <row r="12" customFormat="false" ht="15" hidden="false" customHeight="false" outlineLevel="0" collapsed="false">
      <c r="A12" s="1" t="n">
        <f aca="false">Items[[#This Row],[Item '#]]</f>
        <v>304</v>
      </c>
      <c r="B12" s="1" t="str">
        <f aca="false">Items[[#This Row],[Item Name]]</f>
        <v>Willet Pot Bourbon with glasses   </v>
      </c>
      <c r="C12" s="1" t="str">
        <f aca="false">VLOOKUP(D12,Guests[[BIDDER '#]:[FIRST &amp; LAST NAME - Copy]],3,0)</f>
        <v>Genti Shehaj</v>
      </c>
      <c r="D12" s="2" t="n">
        <f aca="true" t="array" ref="D12:D12">IF(INDIRECT(ADDRESS((ROW(A12)-2)*3+2,13))=0,"",INDIRECT(ADDRESS((ROW(A12)-2)*3+2,13)))</f>
        <v>62</v>
      </c>
      <c r="E12" s="3" t="n">
        <f aca="true" t="array" ref="E12:E12">INDIRECT(ADDRESS((ROW(C12)-2)*3+3,13))</f>
        <v>150</v>
      </c>
      <c r="F12" s="11" t="b">
        <f aca="false">IF(D12=$J$2,TRUE(),FALSE())</f>
        <v>0</v>
      </c>
      <c r="M12" s="14" t="n">
        <v>550</v>
      </c>
      <c r="N12" s="10" t="s">
        <v>8</v>
      </c>
    </row>
    <row r="13" customFormat="false" ht="15" hidden="false" customHeight="false" outlineLevel="0" collapsed="false">
      <c r="A13" s="1" t="n">
        <f aca="false">Items[[#This Row],[Item '#]]</f>
        <v>305</v>
      </c>
      <c r="B13" s="1" t="str">
        <f aca="false">Items[[#This Row],[Item Name]]</f>
        <v>Portuguese Wine Case     </v>
      </c>
      <c r="C13" s="1" t="str">
        <f aca="false">VLOOKUP(D13,Guests[[BIDDER '#]:[FIRST &amp; LAST NAME - Copy]],3,0)</f>
        <v>Xin Chen</v>
      </c>
      <c r="D13" s="2" t="n">
        <f aca="true" t="array" ref="D13:D13">IF(INDIRECT(ADDRESS((ROW(A13)-2)*3+2,13))=0,"",INDIRECT(ADDRESS((ROW(A13)-2)*3+2,13)))</f>
        <v>9</v>
      </c>
      <c r="E13" s="3" t="n">
        <f aca="true" t="array" ref="E13:E13">INDIRECT(ADDRESS((ROW(C13)-2)*3+3,13))</f>
        <v>235</v>
      </c>
      <c r="F13" s="11" t="b">
        <f aca="false">IF(D13=$J$2,TRUE(),FALSE())</f>
        <v>0</v>
      </c>
      <c r="M13" s="4" t="n">
        <v>205</v>
      </c>
      <c r="N13" s="10" t="s">
        <v>1</v>
      </c>
    </row>
    <row r="14" customFormat="false" ht="15" hidden="false" customHeight="false" outlineLevel="0" collapsed="false">
      <c r="A14" s="1" t="n">
        <f aca="false">Items[[#This Row],[Item '#]]</f>
        <v>306</v>
      </c>
      <c r="B14" s="1" t="str">
        <f aca="false">Items[[#This Row],[Item Name]]</f>
        <v>Bourbon Tasting</v>
      </c>
      <c r="C14" s="1" t="str">
        <f aca="false">VLOOKUP(D14,Guests[[BIDDER '#]:[FIRST &amp; LAST NAME - Copy]],3,0)</f>
        <v>Genti Shehaj</v>
      </c>
      <c r="D14" s="2" t="n">
        <f aca="true" t="array" ref="D14:D14">IF(INDIRECT(ADDRESS((ROW(A14)-2)*3+2,13))=0,"",INDIRECT(ADDRESS((ROW(A14)-2)*3+2,13)))</f>
        <v>62</v>
      </c>
      <c r="E14" s="3" t="n">
        <f aca="true" t="array" ref="E14:E14">INDIRECT(ADDRESS((ROW(C14)-2)*3+3,13))</f>
        <v>210</v>
      </c>
      <c r="F14" s="11" t="b">
        <f aca="false">IF(D14=$J$2,TRUE(),FALSE())</f>
        <v>0</v>
      </c>
      <c r="M14" s="14" t="n">
        <v>28</v>
      </c>
      <c r="N14" s="10" t="s">
        <v>7</v>
      </c>
    </row>
    <row r="15" customFormat="false" ht="15" hidden="false" customHeight="false" outlineLevel="0" collapsed="false">
      <c r="A15" s="1" t="n">
        <f aca="false">Items[[#This Row],[Item '#]]</f>
        <v>307</v>
      </c>
      <c r="B15" s="1" t="str">
        <f aca="false">Items[[#This Row],[Item Name]]</f>
        <v>Wine Crate with Select Wines!</v>
      </c>
      <c r="C15" s="1" t="e">
        <f aca="false">VLOOKUP(D15,Guests[[BIDDER '#]:[FIRST &amp; LAST NAME - Copy]],3,0)</f>
        <v>#N/A</v>
      </c>
      <c r="D15" s="2" t="n">
        <v>1008</v>
      </c>
      <c r="E15" s="3" t="n">
        <f aca="true" t="array" ref="E15:E15">INDIRECT(ADDRESS((ROW(C15)-2)*3+3,13))</f>
        <v>145</v>
      </c>
      <c r="F15" s="11" t="b">
        <f aca="false">IF(D15=$J$2,TRUE(),FALSE())</f>
        <v>0</v>
      </c>
      <c r="M15" s="14" t="n">
        <v>550</v>
      </c>
      <c r="N15" s="10" t="s">
        <v>8</v>
      </c>
    </row>
    <row r="16" customFormat="false" ht="15" hidden="false" customHeight="false" outlineLevel="0" collapsed="false">
      <c r="A16" s="1" t="n">
        <f aca="false">Items[[#This Row],[Item '#]]</f>
        <v>308</v>
      </c>
      <c r="B16" s="1" t="str">
        <f aca="false">Items[[#This Row],[Item Name]]</f>
        <v>Mediterranean Booze!</v>
      </c>
      <c r="C16" s="1" t="str">
        <f aca="false">VLOOKUP(D16,Guests[[BIDDER '#]:[FIRST &amp; LAST NAME - Copy]],3,0)</f>
        <v>Genti Shehaj</v>
      </c>
      <c r="D16" s="2" t="n">
        <f aca="true" t="array" ref="D16:D16">IF(INDIRECT(ADDRESS((ROW(A16)-2)*3+2,13))=0,"",INDIRECT(ADDRESS((ROW(A16)-2)*3+2,13)))</f>
        <v>62</v>
      </c>
      <c r="E16" s="3" t="n">
        <f aca="true" t="array" ref="E16:E16">INDIRECT(ADDRESS((ROW(C16)-2)*3+3,13))</f>
        <v>45</v>
      </c>
      <c r="F16" s="11" t="b">
        <f aca="false">IF(D16=$J$2,TRUE(),FALSE())</f>
        <v>0</v>
      </c>
      <c r="M16" s="4" t="n">
        <v>206</v>
      </c>
      <c r="N16" s="10" t="s">
        <v>1</v>
      </c>
    </row>
    <row r="17" customFormat="false" ht="15" hidden="false" customHeight="false" outlineLevel="0" collapsed="false">
      <c r="A17" s="1" t="n">
        <f aca="false">Items[[#This Row],[Item '#]]</f>
        <v>309</v>
      </c>
      <c r="B17" s="1" t="str">
        <f aca="false">Items[[#This Row],[Item Name]]</f>
        <v>Rosé Tasting w/3 Bottles</v>
      </c>
      <c r="C17" s="1" t="str">
        <f aca="false">VLOOKUP(D17,Guests[[BIDDER '#]:[FIRST &amp; LAST NAME - Copy]],3,0)</f>
        <v>Linda Fusco</v>
      </c>
      <c r="D17" s="2" t="n">
        <f aca="true" t="array" ref="D17:D17">IF(INDIRECT(ADDRESS((ROW(A17)-2)*3+2,13))=0,"",INDIRECT(ADDRESS((ROW(A17)-2)*3+2,13)))</f>
        <v>18</v>
      </c>
      <c r="E17" s="3" t="n">
        <f aca="true" t="array" ref="E17:E17">INDIRECT(ADDRESS((ROW(C17)-2)*3+3,13))</f>
        <v>55</v>
      </c>
      <c r="F17" s="11" t="b">
        <f aca="false">IF(D17=$J$2,TRUE(),FALSE())</f>
        <v>0</v>
      </c>
      <c r="M17" s="14" t="n">
        <v>29</v>
      </c>
      <c r="N17" s="10" t="s">
        <v>7</v>
      </c>
    </row>
    <row r="18" customFormat="false" ht="15" hidden="false" customHeight="false" outlineLevel="0" collapsed="false">
      <c r="A18" s="1" t="n">
        <f aca="false">Items[[#This Row],[Item '#]]</f>
        <v>401</v>
      </c>
      <c r="B18" s="1" t="str">
        <f aca="false">Items[[#This Row],[Item Name]]</f>
        <v>Kittle House Inn     </v>
      </c>
      <c r="C18" s="1" t="str">
        <f aca="false">VLOOKUP(D18,Guests[[BIDDER '#]:[FIRST &amp; LAST NAME - Copy]],3,0)</f>
        <v>Linda Iacomini</v>
      </c>
      <c r="D18" s="2" t="n">
        <f aca="true" t="array" ref="D18:D18">IF(INDIRECT(ADDRESS((ROW(A18)-2)*3+2,13))=0,"",INDIRECT(ADDRESS((ROW(A18)-2)*3+2,13)))</f>
        <v>29</v>
      </c>
      <c r="E18" s="3" t="n">
        <f aca="true" t="array" ref="E18:E18">INDIRECT(ADDRESS((ROW(C18)-2)*3+3,13))</f>
        <v>130</v>
      </c>
      <c r="F18" s="11" t="b">
        <f aca="false">IF(D18=$J$2,TRUE(),FALSE())</f>
        <v>0</v>
      </c>
      <c r="M18" s="14" t="n">
        <v>1050</v>
      </c>
      <c r="N18" s="10" t="s">
        <v>8</v>
      </c>
    </row>
    <row r="19" customFormat="false" ht="15" hidden="false" customHeight="false" outlineLevel="0" collapsed="false">
      <c r="A19" s="1" t="n">
        <f aca="false">Items[[#This Row],[Item '#]]</f>
        <v>402</v>
      </c>
      <c r="B19" s="1" t="str">
        <f aca="false">Items[[#This Row],[Item Name]]</f>
        <v>Horse and Hound Inn #1</v>
      </c>
      <c r="C19" s="1" t="str">
        <f aca="false">VLOOKUP(D19,Guests[[BIDDER '#]:[FIRST &amp; LAST NAME - Copy]],3,0)</f>
        <v>Elizabeth Meyer-Gross</v>
      </c>
      <c r="D19" s="2" t="n">
        <f aca="true" t="array" ref="D19:D19">IF(INDIRECT(ADDRESS((ROW(A19)-2)*3+2,13))=0,"",INDIRECT(ADDRESS((ROW(A19)-2)*3+2,13)))</f>
        <v>48</v>
      </c>
      <c r="E19" s="3" t="n">
        <f aca="true" t="array" ref="E19:E19">INDIRECT(ADDRESS((ROW(C19)-2)*3+3,13))</f>
        <v>80</v>
      </c>
      <c r="F19" s="11" t="b">
        <f aca="false">IF(D19=$J$2,TRUE(),FALSE())</f>
        <v>0</v>
      </c>
      <c r="M19" s="4" t="n">
        <v>207</v>
      </c>
      <c r="N19" s="10" t="s">
        <v>1</v>
      </c>
    </row>
    <row r="20" customFormat="false" ht="15" hidden="false" customHeight="false" outlineLevel="0" collapsed="false">
      <c r="A20" s="1" t="n">
        <f aca="false">Items[[#This Row],[Item '#]]</f>
        <v>403</v>
      </c>
      <c r="B20" s="1" t="str">
        <f aca="false">Items[[#This Row],[Item Name]]</f>
        <v>Horse and Hound Inn #2</v>
      </c>
      <c r="C20" s="1" t="e">
        <f aca="false">VLOOKUP(D20,Guests[[BIDDER '#]:[FIRST &amp; LAST NAME - Copy]],3,0)</f>
        <v>#N/A</v>
      </c>
      <c r="D20" s="2" t="n">
        <v>1014</v>
      </c>
      <c r="E20" s="3" t="n">
        <f aca="true" t="array" ref="E20:E20">INDIRECT(ADDRESS((ROW(C20)-2)*3+3,13))</f>
        <v>90</v>
      </c>
      <c r="F20" s="11" t="b">
        <f aca="false">IF(D20=$J$2,TRUE(),FALSE())</f>
        <v>0</v>
      </c>
      <c r="H20" s="32" t="s">
        <v>18</v>
      </c>
      <c r="I20" s="33" t="n">
        <f aca="false">SUM(J5:J15)</f>
        <v>2360</v>
      </c>
      <c r="M20" s="14" t="s">
        <v>19</v>
      </c>
      <c r="N20" s="10" t="s">
        <v>7</v>
      </c>
      <c r="P20" s="32" t="s">
        <v>18</v>
      </c>
      <c r="Q20" s="33" t="n">
        <f aca="false">SUM(R5:R15)</f>
        <v>0</v>
      </c>
    </row>
    <row r="21" customFormat="false" ht="15" hidden="false" customHeight="false" outlineLevel="0" collapsed="false">
      <c r="A21" s="1" t="n">
        <f aca="false">Items[[#This Row],[Item '#]]</f>
        <v>404</v>
      </c>
      <c r="B21" s="1" t="str">
        <f aca="false">Items[[#This Row],[Item Name]]</f>
        <v>Le Bernardin      </v>
      </c>
      <c r="C21" s="1" t="str">
        <f aca="false">VLOOKUP(D21,Guests[[BIDDER '#]:[FIRST &amp; LAST NAME - Copy]],3,0)</f>
        <v>Susan Hupper</v>
      </c>
      <c r="D21" s="2" t="n">
        <f aca="true" t="array" ref="D21:D21">IF(INDIRECT(ADDRESS((ROW(A21)-2)*3+2,13))=0,"",INDIRECT(ADDRESS((ROW(A21)-2)*3+2,13)))</f>
        <v>28</v>
      </c>
      <c r="E21" s="3" t="n">
        <f aca="true" t="array" ref="E21:E21">INDIRECT(ADDRESS((ROW(C21)-2)*3+3,13))</f>
        <v>325</v>
      </c>
      <c r="F21" s="11" t="b">
        <f aca="false">IF(D21=$J$2,TRUE(),FALSE())</f>
        <v>0</v>
      </c>
      <c r="H21" s="32"/>
      <c r="M21" s="14" t="n">
        <v>4500</v>
      </c>
      <c r="N21" s="10" t="s">
        <v>8</v>
      </c>
      <c r="P21" s="32"/>
    </row>
    <row r="22" customFormat="false" ht="15" hidden="false" customHeight="false" outlineLevel="0" collapsed="false">
      <c r="A22" s="1" t="n">
        <f aca="false">Items[[#This Row],[Item '#]]</f>
        <v>405</v>
      </c>
      <c r="B22" s="1" t="str">
        <f aca="false">Items[[#This Row],[Item Name]]</f>
        <v>Lincoln Restaurant      </v>
      </c>
      <c r="C22" s="1" t="e">
        <f aca="false">VLOOKUP(D22,Guests[[BIDDER '#]:[FIRST &amp; LAST NAME - Copy]],3,0)</f>
        <v>#N/A</v>
      </c>
      <c r="D22" s="2" t="n">
        <v>1015</v>
      </c>
      <c r="E22" s="3" t="n">
        <f aca="true" t="array" ref="E22:E22">INDIRECT(ADDRESS((ROW(C22)-2)*3+3,13))</f>
        <v>275</v>
      </c>
      <c r="F22" s="11" t="b">
        <f aca="false">IF(D22=$J$2,TRUE(),FALSE())</f>
        <v>0</v>
      </c>
      <c r="H22" s="32" t="s">
        <v>20</v>
      </c>
      <c r="I22" s="4" t="s">
        <v>21</v>
      </c>
      <c r="J22" s="11" t="b">
        <f aca="false">FALSE()</f>
        <v>0</v>
      </c>
      <c r="M22" s="4" t="n">
        <v>301</v>
      </c>
      <c r="N22" s="10" t="s">
        <v>1</v>
      </c>
      <c r="P22" s="32" t="s">
        <v>20</v>
      </c>
      <c r="Q22" s="4" t="s">
        <v>21</v>
      </c>
      <c r="R22" s="11" t="b">
        <f aca="false">FALSE()</f>
        <v>0</v>
      </c>
    </row>
    <row r="23" customFormat="false" ht="15" hidden="false" customHeight="false" outlineLevel="0" collapsed="false">
      <c r="A23" s="1" t="n">
        <f aca="false">Items[[#This Row],[Item '#]]</f>
        <v>406</v>
      </c>
      <c r="B23" s="1" t="str">
        <f aca="false">Items[[#This Row],[Item Name]]</f>
        <v>Tea at the Plaza    </v>
      </c>
      <c r="C23" s="1" t="e">
        <f aca="false">VLOOKUP(D23,Guests[[BIDDER '#]:[FIRST &amp; LAST NAME - Copy]],3,0)</f>
        <v>#N/A</v>
      </c>
      <c r="D23" s="2" t="n">
        <v>1003</v>
      </c>
      <c r="E23" s="3" t="n">
        <f aca="true" t="array" ref="E23:E23">INDIRECT(ADDRESS((ROW(C23)-2)*3+3,13))</f>
        <v>145</v>
      </c>
      <c r="F23" s="11" t="b">
        <f aca="false">IF(D23=$J$2,TRUE(),FALSE())</f>
        <v>0</v>
      </c>
      <c r="I23" s="4" t="s">
        <v>22</v>
      </c>
      <c r="J23" s="11" t="b">
        <f aca="false">FALSE()</f>
        <v>0</v>
      </c>
      <c r="M23" s="14" t="n">
        <v>62</v>
      </c>
      <c r="N23" s="10" t="s">
        <v>7</v>
      </c>
      <c r="Q23" s="4" t="s">
        <v>22</v>
      </c>
      <c r="R23" s="11" t="b">
        <f aca="false">TRUE()</f>
        <v>1</v>
      </c>
    </row>
    <row r="24" customFormat="false" ht="15" hidden="false" customHeight="false" outlineLevel="0" collapsed="false">
      <c r="A24" s="1" t="n">
        <f aca="false">Items[[#This Row],[Item '#]]</f>
        <v>407</v>
      </c>
      <c r="B24" s="1" t="str">
        <f aca="false">Items[[#This Row],[Item Name]]</f>
        <v>Three Bottles of Superior Olive Oil from Portugal</v>
      </c>
      <c r="C24" s="1" t="str">
        <f aca="false">VLOOKUP(D24,Guests[[BIDDER '#]:[FIRST &amp; LAST NAME - Copy]],3,0)</f>
        <v>Kevin James</v>
      </c>
      <c r="D24" s="2" t="n">
        <f aca="true" t="array" ref="D24:D24">IF(INDIRECT(ADDRESS((ROW(A24)-2)*3+2,13))=0,"",INDIRECT(ADDRESS((ROW(A24)-2)*3+2,13)))</f>
        <v>31</v>
      </c>
      <c r="E24" s="3" t="n">
        <f aca="true" t="array" ref="E24:E24">INDIRECT(ADDRESS((ROW(C24)-2)*3+3,13))</f>
        <v>105</v>
      </c>
      <c r="F24" s="11" t="b">
        <f aca="false">IF(D24=$J$2,TRUE(),FALSE())</f>
        <v>0</v>
      </c>
      <c r="I24" s="4" t="s">
        <v>23</v>
      </c>
      <c r="J24" s="11" t="b">
        <f aca="false">FALSE()</f>
        <v>0</v>
      </c>
      <c r="M24" s="14" t="n">
        <v>90</v>
      </c>
      <c r="N24" s="10" t="s">
        <v>8</v>
      </c>
      <c r="Q24" s="4" t="s">
        <v>23</v>
      </c>
      <c r="R24" s="11" t="b">
        <f aca="false">FALSE()</f>
        <v>0</v>
      </c>
    </row>
    <row r="25" customFormat="false" ht="15" hidden="false" customHeight="false" outlineLevel="0" collapsed="false">
      <c r="A25" s="1" t="n">
        <f aca="false">Items[[#This Row],[Item '#]]</f>
        <v>408</v>
      </c>
      <c r="B25" s="1" t="str">
        <f aca="false">Items[[#This Row],[Item Name]]</f>
        <v>Bangkok Republic</v>
      </c>
      <c r="C25" s="1" t="e">
        <f aca="false">VLOOKUP(D25,Guests[[BIDDER '#]:[FIRST &amp; LAST NAME - Copy]],3,0)</f>
        <v>#N/A</v>
      </c>
      <c r="D25" s="2" t="n">
        <v>1003</v>
      </c>
      <c r="E25" s="3" t="n">
        <f aca="true" t="array" ref="E25:E25">INDIRECT(ADDRESS((ROW(C25)-2)*3+3,13))</f>
        <v>80</v>
      </c>
      <c r="F25" s="11" t="b">
        <f aca="false">IF(D25=$J$2,TRUE(),FALSE())</f>
        <v>0</v>
      </c>
      <c r="I25" s="4" t="s">
        <v>24</v>
      </c>
      <c r="J25" s="11" t="b">
        <f aca="false">FALSE()</f>
        <v>0</v>
      </c>
      <c r="M25" s="4" t="n">
        <v>302</v>
      </c>
      <c r="N25" s="10" t="s">
        <v>1</v>
      </c>
      <c r="Q25" s="4" t="s">
        <v>24</v>
      </c>
      <c r="R25" s="11" t="b">
        <f aca="false">FALSE()</f>
        <v>0</v>
      </c>
    </row>
    <row r="26" customFormat="false" ht="15" hidden="false" customHeight="false" outlineLevel="0" collapsed="false">
      <c r="A26" s="1" t="n">
        <f aca="false">Items[[#This Row],[Item '#]]</f>
        <v>501</v>
      </c>
      <c r="B26" s="1" t="str">
        <f aca="false">Items[[#This Row],[Item Name]]</f>
        <v>American Ballet      </v>
      </c>
      <c r="C26" s="1" t="e">
        <f aca="false">VLOOKUP(D26,Guests[[BIDDER '#]:[FIRST &amp; LAST NAME - Copy]],3,0)</f>
        <v>#N/A</v>
      </c>
      <c r="D26" s="2" t="n">
        <v>1008</v>
      </c>
      <c r="E26" s="3" t="n">
        <f aca="true" t="array" ref="E26:E26">INDIRECT(ADDRESS((ROW(C26)-2)*3+3,13))</f>
        <v>135</v>
      </c>
      <c r="F26" s="11" t="b">
        <f aca="false">IF(D26=$J$2,TRUE(),FALSE())</f>
        <v>0</v>
      </c>
      <c r="I26" s="4" t="s">
        <v>25</v>
      </c>
      <c r="J26" s="11" t="b">
        <f aca="false">FALSE()</f>
        <v>0</v>
      </c>
      <c r="M26" s="14" t="n">
        <v>62</v>
      </c>
      <c r="N26" s="10" t="s">
        <v>7</v>
      </c>
      <c r="Q26" s="4" t="s">
        <v>25</v>
      </c>
      <c r="R26" s="11" t="b">
        <f aca="false">FALSE()</f>
        <v>0</v>
      </c>
    </row>
    <row r="27" customFormat="false" ht="15" hidden="false" customHeight="false" outlineLevel="0" collapsed="false">
      <c r="A27" s="1" t="n">
        <f aca="false">Items[[#This Row],[Item '#]]</f>
        <v>502</v>
      </c>
      <c r="B27" s="1" t="str">
        <f aca="false">Items[[#This Row],[Item Name]]</f>
        <v>American Symphony Orchestra     </v>
      </c>
      <c r="C27" s="1" t="str">
        <f aca="false">VLOOKUP(D27,Guests[[BIDDER '#]:[FIRST &amp; LAST NAME - Copy]],3,0)</f>
        <v>Joanie Betz</v>
      </c>
      <c r="D27" s="2" t="n">
        <f aca="true" t="array" ref="D27:D27">IF(INDIRECT(ADDRESS((ROW(A27)-2)*3+2,13))=0,"",INDIRECT(ADDRESS((ROW(A27)-2)*3+2,13)))</f>
        <v>6</v>
      </c>
      <c r="E27" s="3" t="n">
        <f aca="true" t="array" ref="E27:E27">INDIRECT(ADDRESS((ROW(C27)-2)*3+3,13))</f>
        <v>50</v>
      </c>
      <c r="F27" s="11" t="b">
        <f aca="false">IF(D27=$J$2,TRUE(),FALSE())</f>
        <v>0</v>
      </c>
      <c r="I27" s="4" t="s">
        <v>26</v>
      </c>
      <c r="J27" s="11" t="b">
        <f aca="false">FALSE()</f>
        <v>0</v>
      </c>
      <c r="M27" s="14" t="n">
        <v>90</v>
      </c>
      <c r="N27" s="10" t="s">
        <v>8</v>
      </c>
      <c r="Q27" s="4" t="s">
        <v>26</v>
      </c>
      <c r="R27" s="11" t="b">
        <f aca="false">FALSE()</f>
        <v>0</v>
      </c>
    </row>
    <row r="28" customFormat="false" ht="15" hidden="false" customHeight="false" outlineLevel="0" collapsed="false">
      <c r="A28" s="1" t="n">
        <f aca="false">Items[[#This Row],[Item '#]]</f>
        <v>503</v>
      </c>
      <c r="B28" s="1" t="str">
        <f aca="false">Items[[#This Row],[Item Name]]</f>
        <v>Caramoor       </v>
      </c>
      <c r="C28" s="1" t="str">
        <f aca="false">VLOOKUP(D28,Guests[[BIDDER '#]:[FIRST &amp; LAST NAME - Copy]],3,0)</f>
        <v>Elizabeth Meyer-Gross</v>
      </c>
      <c r="D28" s="2" t="n">
        <f aca="true" t="array" ref="D28:D28">IF(INDIRECT(ADDRESS((ROW(A28)-2)*3+2,13))=0,"",INDIRECT(ADDRESS((ROW(A28)-2)*3+2,13)))</f>
        <v>48</v>
      </c>
      <c r="E28" s="3" t="n">
        <f aca="true" t="array" ref="E28:E28">INDIRECT(ADDRESS((ROW(C28)-2)*3+3,13))</f>
        <v>110</v>
      </c>
      <c r="F28" s="11" t="b">
        <f aca="false">IF(D28=$J$2,TRUE(),FALSE())</f>
        <v>0</v>
      </c>
      <c r="I28" s="4" t="s">
        <v>27</v>
      </c>
      <c r="J28" s="11" t="b">
        <f aca="false">FALSE()</f>
        <v>0</v>
      </c>
      <c r="M28" s="4" t="n">
        <v>303</v>
      </c>
      <c r="N28" s="10" t="s">
        <v>1</v>
      </c>
      <c r="Q28" s="4" t="s">
        <v>27</v>
      </c>
      <c r="R28" s="11" t="b">
        <f aca="false">FALSE()</f>
        <v>0</v>
      </c>
    </row>
    <row r="29" customFormat="false" ht="15" hidden="false" customHeight="false" outlineLevel="0" collapsed="false">
      <c r="A29" s="1" t="n">
        <f aca="false">Items[[#This Row],[Item '#]]</f>
        <v>504</v>
      </c>
      <c r="B29" s="1" t="str">
        <f aca="false">Items[[#This Row],[Item Name]]</f>
        <v>The New York Philharmonic with Hélenè Grimaud </v>
      </c>
      <c r="C29" s="1" t="str">
        <f aca="false">VLOOKUP(D29,Guests[[BIDDER '#]:[FIRST &amp; LAST NAME - Copy]],3,0)</f>
        <v>Michael Spudic</v>
      </c>
      <c r="D29" s="2" t="n">
        <f aca="true" t="array" ref="D29:D29">IF(INDIRECT(ADDRESS((ROW(A29)-2)*3+2,13))=0,"",INDIRECT(ADDRESS((ROW(A29)-2)*3+2,13)))</f>
        <v>66</v>
      </c>
      <c r="E29" s="3" t="n">
        <f aca="true" t="array" ref="E29:E29">INDIRECT(ADDRESS((ROW(C29)-2)*3+3,13))</f>
        <v>250</v>
      </c>
      <c r="F29" s="11" t="b">
        <f aca="false">IF(D29=$J$2,TRUE(),FALSE())</f>
        <v>0</v>
      </c>
      <c r="H29" s="32"/>
      <c r="M29" s="14" t="s">
        <v>28</v>
      </c>
      <c r="N29" s="10" t="s">
        <v>7</v>
      </c>
    </row>
    <row r="30" customFormat="false" ht="15" hidden="false" customHeight="false" outlineLevel="0" collapsed="false">
      <c r="A30" s="1" t="n">
        <f aca="false">Items[[#This Row],[Item '#]]</f>
        <v>505</v>
      </c>
      <c r="B30" s="1" t="str">
        <f aca="false">Items[[#This Row],[Item Name]]</f>
        <v>The Metropolitan Opera     </v>
      </c>
      <c r="C30" s="1" t="e">
        <f aca="false">VLOOKUP(D30,Guests[[BIDDER '#]:[FIRST &amp; LAST NAME - Copy]],3,0)</f>
        <v>#N/A</v>
      </c>
      <c r="D30" s="2" t="n">
        <v>1018</v>
      </c>
      <c r="E30" s="3" t="n">
        <f aca="true" t="array" ref="E30:E30">INDIRECT(ADDRESS((ROW(C30)-2)*3+3,13))</f>
        <v>275</v>
      </c>
      <c r="F30" s="11" t="b">
        <f aca="false">IF(D30=$J$2,TRUE(),FALSE())</f>
        <v>0</v>
      </c>
      <c r="H30" s="32"/>
      <c r="M30" s="14" t="n">
        <v>150</v>
      </c>
      <c r="N30" s="10" t="s">
        <v>8</v>
      </c>
      <c r="R30" s="3"/>
    </row>
    <row r="31" customFormat="false" ht="15" hidden="false" customHeight="false" outlineLevel="0" collapsed="false">
      <c r="A31" s="1" t="n">
        <f aca="false">Items[[#This Row],[Item '#]]</f>
        <v>506</v>
      </c>
      <c r="B31" s="1" t="str">
        <f aca="false">Items[[#This Row],[Item Name]]</f>
        <v>Music Before 1800     </v>
      </c>
      <c r="C31" s="1" t="e">
        <f aca="false">VLOOKUP(D31,Guests[[BIDDER '#]:[FIRST &amp; LAST NAME - Copy]],3,0)</f>
        <v>#N/A</v>
      </c>
      <c r="D31" s="2" t="n">
        <v>1015</v>
      </c>
      <c r="E31" s="3" t="n">
        <f aca="true" t="array" ref="E31:E31">INDIRECT(ADDRESS((ROW(C31)-2)*3+3,13))</f>
        <v>75</v>
      </c>
      <c r="F31" s="11" t="b">
        <f aca="false">IF(D31=$J$2,TRUE(),FALSE())</f>
        <v>0</v>
      </c>
      <c r="H31" s="32"/>
      <c r="M31" s="4" t="n">
        <v>304</v>
      </c>
      <c r="N31" s="10" t="s">
        <v>1</v>
      </c>
      <c r="R31" s="4"/>
    </row>
    <row r="32" customFormat="false" ht="15" hidden="false" customHeight="false" outlineLevel="0" collapsed="false">
      <c r="A32" s="1" t="n">
        <f aca="false">Items[[#This Row],[Item '#]]</f>
        <v>507</v>
      </c>
      <c r="B32" s="1" t="str">
        <f aca="false">Items[[#This Row],[Item Name]]</f>
        <v>Orchestra Lumos      </v>
      </c>
      <c r="C32" s="1" t="str">
        <f aca="false">VLOOKUP(D32,Guests[[BIDDER '#]:[FIRST &amp; LAST NAME - Copy]],3,0)</f>
        <v>Elizabeth Meyer-Gross</v>
      </c>
      <c r="D32" s="2" t="n">
        <f aca="true" t="array" ref="D32:D32">IF(INDIRECT(ADDRESS((ROW(A32)-2)*3+2,13))=0,"",INDIRECT(ADDRESS((ROW(A32)-2)*3+2,13)))</f>
        <v>48</v>
      </c>
      <c r="E32" s="3" t="n">
        <f aca="true" t="array" ref="E32:E32">INDIRECT(ADDRESS((ROW(C32)-2)*3+3,13))</f>
        <v>125</v>
      </c>
      <c r="F32" s="11" t="b">
        <f aca="false">IF(D32=$J$2,TRUE(),FALSE())</f>
        <v>0</v>
      </c>
      <c r="M32" s="14" t="n">
        <v>62</v>
      </c>
      <c r="N32" s="10" t="s">
        <v>7</v>
      </c>
    </row>
    <row r="33" customFormat="false" ht="15" hidden="false" customHeight="false" outlineLevel="0" collapsed="false">
      <c r="A33" s="1" t="n">
        <f aca="false">Items[[#This Row],[Item '#]]</f>
        <v>508</v>
      </c>
      <c r="B33" s="1" t="str">
        <f aca="false">Items[[#This Row],[Item Name]]</f>
        <v>Parthenia Viol Concerts     </v>
      </c>
      <c r="C33" s="1" t="str">
        <f aca="false">VLOOKUP(D33,Guests[[BIDDER '#]:[FIRST &amp; LAST NAME - Copy]],3,0)</f>
        <v>Elaine Feldman</v>
      </c>
      <c r="D33" s="2" t="n">
        <f aca="true" t="array" ref="D33:D33">IF(INDIRECT(ADDRESS((ROW(A33)-2)*3+2,13))=0,"",INDIRECT(ADDRESS((ROW(A33)-2)*3+2,13)))</f>
        <v>14</v>
      </c>
      <c r="E33" s="3" t="n">
        <f aca="true" t="array" ref="E33:E33">INDIRECT(ADDRESS((ROW(C33)-2)*3+3,13))</f>
        <v>75</v>
      </c>
      <c r="F33" s="11" t="b">
        <f aca="false">IF(D33=$J$2,TRUE(),FALSE())</f>
        <v>0</v>
      </c>
      <c r="M33" s="14" t="n">
        <v>150</v>
      </c>
      <c r="N33" s="10" t="s">
        <v>8</v>
      </c>
    </row>
    <row r="34" customFormat="false" ht="15" hidden="false" customHeight="false" outlineLevel="0" collapsed="false">
      <c r="A34" s="1" t="n">
        <f aca="false">Items[[#This Row],[Item '#]]</f>
        <v>509</v>
      </c>
      <c r="B34" s="1" t="str">
        <f aca="false">Items[[#This Row],[Item Name]]</f>
        <v>The Orchestra of St. Luke’s   </v>
      </c>
      <c r="C34" s="1" t="str">
        <f aca="false">VLOOKUP(D34,Guests[[BIDDER '#]:[FIRST &amp; LAST NAME - Copy]],3,0)</f>
        <v>Nan Coffee</v>
      </c>
      <c r="D34" s="2" t="n">
        <f aca="true" t="array" ref="D34:D34">IF(INDIRECT(ADDRESS((ROW(A34)-2)*3+2,13))=0,"",INDIRECT(ADDRESS((ROW(A34)-2)*3+2,13)))</f>
        <v>10</v>
      </c>
      <c r="E34" s="3" t="n">
        <f aca="true" t="array" ref="E34:E34">INDIRECT(ADDRESS((ROW(C34)-2)*3+3,13))</f>
        <v>55</v>
      </c>
      <c r="F34" s="11" t="b">
        <f aca="false">IF(D34=$J$2,TRUE(),FALSE())</f>
        <v>0</v>
      </c>
      <c r="M34" s="4" t="n">
        <v>305</v>
      </c>
      <c r="N34" s="10" t="s">
        <v>1</v>
      </c>
    </row>
    <row r="35" customFormat="false" ht="15" hidden="false" customHeight="false" outlineLevel="0" collapsed="false">
      <c r="A35" s="1" t="n">
        <f aca="false">Items[[#This Row],[Item '#]]</f>
        <v>510</v>
      </c>
      <c r="B35" s="1" t="str">
        <f aca="false">Items[[#This Row],[Item Name]]</f>
        <v>The Ridgefield Symphony     </v>
      </c>
      <c r="C35" s="1" t="e">
        <f aca="false">VLOOKUP(D35,Guests[[BIDDER '#]:[FIRST &amp; LAST NAME - Copy]],3,0)</f>
        <v>#N/A</v>
      </c>
      <c r="D35" s="2" t="n">
        <v>1020</v>
      </c>
      <c r="E35" s="3" t="n">
        <f aca="true" t="array" ref="E35:E35">INDIRECT(ADDRESS((ROW(C35)-2)*3+3,13))</f>
        <v>50</v>
      </c>
      <c r="F35" s="11" t="b">
        <f aca="false">IF(D35=$J$2,TRUE(),FALSE())</f>
        <v>0</v>
      </c>
      <c r="M35" s="14" t="n">
        <v>9</v>
      </c>
      <c r="N35" s="10" t="s">
        <v>7</v>
      </c>
    </row>
    <row r="36" customFormat="false" ht="15" hidden="false" customHeight="false" outlineLevel="0" collapsed="false">
      <c r="A36" s="1" t="n">
        <f aca="false">Items[[#This Row],[Item '#]]</f>
        <v>511</v>
      </c>
      <c r="B36" s="1" t="str">
        <f aca="false">Items[[#This Row],[Item Name]]</f>
        <v>Music at St. Thomas    </v>
      </c>
      <c r="C36" s="1" t="str">
        <f aca="false">VLOOKUP(D36,Guests[[BIDDER '#]:[FIRST &amp; LAST NAME - Copy]],3,0)</f>
        <v>Nan Coffee</v>
      </c>
      <c r="D36" s="2" t="n">
        <f aca="true" t="array" ref="D36:D36">IF(INDIRECT(ADDRESS((ROW(A36)-2)*3+2,13))=0,"",INDIRECT(ADDRESS((ROW(A36)-2)*3+2,13)))</f>
        <v>10</v>
      </c>
      <c r="E36" s="3" t="n">
        <f aca="true" t="array" ref="E36:E36">INDIRECT(ADDRESS((ROW(C36)-2)*3+3,13))</f>
        <v>95</v>
      </c>
      <c r="F36" s="11" t="b">
        <f aca="false">IF(D36=$J$2,TRUE(),FALSE())</f>
        <v>0</v>
      </c>
      <c r="M36" s="14" t="n">
        <v>235</v>
      </c>
      <c r="N36" s="10" t="s">
        <v>8</v>
      </c>
    </row>
    <row r="37" customFormat="false" ht="15" hidden="false" customHeight="false" outlineLevel="0" collapsed="false">
      <c r="A37" s="1" t="n">
        <f aca="false">Items[[#This Row],[Item '#]]</f>
        <v>512</v>
      </c>
      <c r="B37" s="1" t="str">
        <f aca="false">Items[[#This Row],[Item Name]]</f>
        <v>Gotham Early Music Scene Concert Tickets</v>
      </c>
      <c r="C37" s="1" t="e">
        <f aca="false">VLOOKUP(D37,Guests[[BIDDER '#]:[FIRST &amp; LAST NAME - Copy]],3,0)</f>
        <v>#N/A</v>
      </c>
      <c r="D37" s="2" t="str">
        <f aca="true" t="array" ref="D37:D37">IF(INDIRECT(ADDRESS((ROW(A37)-2)*3+2,13))=0,"",INDIRECT(ADDRESS((ROW(A37)-2)*3+2,13)))</f>
        <v>-</v>
      </c>
      <c r="E37" s="3" t="str">
        <f aca="true" t="array" ref="E37:E37">INDIRECT(ADDRESS((ROW(C37)-2)*3+3,13))</f>
        <v>-</v>
      </c>
      <c r="F37" s="11" t="b">
        <f aca="false">IF(D37=$J$2,TRUE(),FALSE())</f>
        <v>0</v>
      </c>
      <c r="M37" s="4" t="n">
        <v>306</v>
      </c>
      <c r="N37" s="10" t="s">
        <v>1</v>
      </c>
    </row>
    <row r="38" customFormat="false" ht="15" hidden="false" customHeight="false" outlineLevel="0" collapsed="false">
      <c r="A38" s="1" t="n">
        <f aca="false">Items[[#This Row],[Item '#]]</f>
        <v>513</v>
      </c>
      <c r="B38" s="1" t="str">
        <f aca="false">Items[[#This Row],[Item Name]]</f>
        <v>Musica Sacra</v>
      </c>
      <c r="C38" s="1" t="e">
        <f aca="false">VLOOKUP(D38,Guests[[BIDDER '#]:[FIRST &amp; LAST NAME - Copy]],3,0)</f>
        <v>#N/A</v>
      </c>
      <c r="D38" s="2" t="n">
        <v>1022</v>
      </c>
      <c r="E38" s="3" t="n">
        <f aca="true" t="array" ref="E38:E38">INDIRECT(ADDRESS((ROW(C38)-2)*3+3,13))</f>
        <v>85</v>
      </c>
      <c r="F38" s="11" t="b">
        <f aca="false">IF(D38=$J$2,TRUE(),FALSE())</f>
        <v>0</v>
      </c>
      <c r="M38" s="14" t="n">
        <v>62</v>
      </c>
      <c r="N38" s="10" t="s">
        <v>7</v>
      </c>
    </row>
    <row r="39" customFormat="false" ht="15" hidden="false" customHeight="false" outlineLevel="0" collapsed="false">
      <c r="A39" s="1" t="n">
        <f aca="false">Items[[#This Row],[Item '#]]</f>
        <v>514</v>
      </c>
      <c r="B39" s="1" t="str">
        <f aca="false">Items[[#This Row],[Item Name]]</f>
        <v>The Symphony of Westchester Tickets</v>
      </c>
      <c r="C39" s="1" t="str">
        <f aca="false">VLOOKUP(D39,Guests[[BIDDER '#]:[FIRST &amp; LAST NAME - Copy]],3,0)</f>
        <v>Elaine Feldman</v>
      </c>
      <c r="D39" s="2" t="n">
        <f aca="true" t="array" ref="D39:D39">IF(INDIRECT(ADDRESS((ROW(A39)-2)*3+2,13))=0,"",INDIRECT(ADDRESS((ROW(A39)-2)*3+2,13)))</f>
        <v>14</v>
      </c>
      <c r="E39" s="3" t="n">
        <f aca="true" t="array" ref="E39:E39">INDIRECT(ADDRESS((ROW(C39)-2)*3+3,13))</f>
        <v>100</v>
      </c>
      <c r="F39" s="11" t="b">
        <f aca="false">IF(D39=$J$2,TRUE(),FALSE())</f>
        <v>0</v>
      </c>
      <c r="M39" s="14" t="n">
        <v>210</v>
      </c>
      <c r="N39" s="10" t="s">
        <v>8</v>
      </c>
    </row>
    <row r="40" customFormat="false" ht="15" hidden="false" customHeight="false" outlineLevel="0" collapsed="false">
      <c r="A40" s="1" t="n">
        <f aca="false">Items[[#This Row],[Item '#]]</f>
        <v>515</v>
      </c>
      <c r="B40" s="1" t="str">
        <f aca="false">Items[[#This Row],[Item Name]]</f>
        <v>Chamber Music Society of Lincoln Center</v>
      </c>
      <c r="C40" s="1" t="e">
        <f aca="false">VLOOKUP(D40,Guests[[BIDDER '#]:[FIRST &amp; LAST NAME - Copy]],3,0)</f>
        <v>#N/A</v>
      </c>
      <c r="D40" s="2" t="n">
        <v>1023</v>
      </c>
      <c r="E40" s="3" t="n">
        <f aca="true" t="array" ref="E40:E40">INDIRECT(ADDRESS((ROW(C40)-2)*3+3,13))</f>
        <v>75</v>
      </c>
      <c r="F40" s="11" t="b">
        <f aca="false">IF(D40=$J$2,TRUE(),FALSE())</f>
        <v>0</v>
      </c>
      <c r="M40" s="4" t="n">
        <v>307</v>
      </c>
      <c r="N40" s="10" t="s">
        <v>1</v>
      </c>
    </row>
    <row r="41" customFormat="false" ht="15" hidden="false" customHeight="false" outlineLevel="0" collapsed="false">
      <c r="A41" s="1" t="n">
        <f aca="false">Items[[#This Row],[Item '#]]</f>
        <v>516</v>
      </c>
      <c r="B41" s="1" t="str">
        <f aca="false">Items[[#This Row],[Item Name]]</f>
        <v>Broadway Show!</v>
      </c>
      <c r="C41" s="1" t="e">
        <f aca="false">VLOOKUP(D41,Guests[[BIDDER '#]:[FIRST &amp; LAST NAME - Copy]],3,0)</f>
        <v>#N/A</v>
      </c>
      <c r="D41" s="2" t="n">
        <v>1001</v>
      </c>
      <c r="E41" s="3" t="n">
        <f aca="true" t="array" ref="E41:E41">INDIRECT(ADDRESS((ROW(C41)-2)*3+3,13))</f>
        <v>210</v>
      </c>
      <c r="F41" s="11" t="b">
        <f aca="false">IF(D41=$J$2,TRUE(),FALSE())</f>
        <v>0</v>
      </c>
      <c r="M41" s="14" t="s">
        <v>29</v>
      </c>
      <c r="N41" s="10" t="s">
        <v>7</v>
      </c>
    </row>
    <row r="42" customFormat="false" ht="15" hidden="false" customHeight="false" outlineLevel="0" collapsed="false">
      <c r="A42" s="1" t="n">
        <f aca="false">Items[[#This Row],[Item '#]]</f>
        <v>517</v>
      </c>
      <c r="B42" s="1" t="str">
        <f aca="false">Items[[#This Row],[Item Name]]</f>
        <v>Nikita Galaktionov Piano Recital</v>
      </c>
      <c r="C42" s="1" t="e">
        <f aca="false">VLOOKUP(D42,Guests[[BIDDER '#]:[FIRST &amp; LAST NAME - Copy]],3,0)</f>
        <v>#N/A</v>
      </c>
      <c r="D42" s="2" t="str">
        <f aca="true" t="array" ref="D42:D42">IF(INDIRECT(ADDRESS((ROW(A42)-2)*3+2,13))=0,"",INDIRECT(ADDRESS((ROW(A42)-2)*3+2,13)))</f>
        <v>-</v>
      </c>
      <c r="E42" s="3" t="str">
        <f aca="true" t="array" ref="E42:E42">INDIRECT(ADDRESS((ROW(C42)-2)*3+3,13))</f>
        <v>-</v>
      </c>
      <c r="F42" s="11" t="b">
        <f aca="false">IF(D42=$J$2,TRUE(),FALSE())</f>
        <v>0</v>
      </c>
      <c r="M42" s="14" t="n">
        <v>145</v>
      </c>
      <c r="N42" s="10" t="s">
        <v>8</v>
      </c>
    </row>
    <row r="43" customFormat="false" ht="15" hidden="false" customHeight="false" outlineLevel="0" collapsed="false">
      <c r="A43" s="1" t="n">
        <f aca="false">Items[[#This Row],[Item '#]]</f>
        <v>518</v>
      </c>
      <c r="B43" s="1" t="str">
        <f aca="false">Items[[#This Row],[Item Name]]</f>
        <v>Two tickets to the 2025 Bard Music Festival</v>
      </c>
      <c r="C43" s="1" t="e">
        <f aca="false">VLOOKUP(D43,Guests[[BIDDER '#]:[FIRST &amp; LAST NAME - Copy]],3,0)</f>
        <v>#N/A</v>
      </c>
      <c r="D43" s="2" t="n">
        <v>1019</v>
      </c>
      <c r="E43" s="3" t="n">
        <f aca="true" t="array" ref="E43:E43">INDIRECT(ADDRESS((ROW(C43)-2)*3+3,13))</f>
        <v>65</v>
      </c>
      <c r="F43" s="11" t="b">
        <f aca="false">IF(D43=$J$2,TRUE(),FALSE())</f>
        <v>0</v>
      </c>
      <c r="M43" s="4" t="n">
        <v>308</v>
      </c>
      <c r="N43" s="10" t="s">
        <v>1</v>
      </c>
    </row>
    <row r="44" customFormat="false" ht="15" hidden="false" customHeight="false" outlineLevel="0" collapsed="false">
      <c r="A44" s="1" t="n">
        <f aca="false">Items[[#This Row],[Item '#]]</f>
        <v>519</v>
      </c>
      <c r="B44" s="1" t="str">
        <f aca="false">Items[[#This Row],[Item Name]]</f>
        <v>Family Membership to the Ridgefield Playhouse</v>
      </c>
      <c r="C44" s="1" t="e">
        <f aca="false">VLOOKUP(D44,Guests[[BIDDER '#]:[FIRST &amp; LAST NAME - Copy]],3,0)</f>
        <v>#N/A</v>
      </c>
      <c r="D44" s="2" t="n">
        <v>1012</v>
      </c>
      <c r="E44" s="3" t="n">
        <f aca="true" t="array" ref="E44:E44">INDIRECT(ADDRESS((ROW(C44)-2)*3+3,13))</f>
        <v>85</v>
      </c>
      <c r="F44" s="11" t="b">
        <f aca="false">IF(D44=$J$2,TRUE(),FALSE())</f>
        <v>0</v>
      </c>
      <c r="M44" s="14" t="n">
        <v>62</v>
      </c>
      <c r="N44" s="10" t="s">
        <v>7</v>
      </c>
    </row>
    <row r="45" customFormat="false" ht="15" hidden="false" customHeight="false" outlineLevel="0" collapsed="false">
      <c r="A45" s="1" t="n">
        <f aca="false">Items[[#This Row],[Item '#]]</f>
        <v>601</v>
      </c>
      <c r="B45" s="1" t="str">
        <f aca="false">Items[[#This Row],[Item Name]]</f>
        <v>Golf Outing      </v>
      </c>
      <c r="C45" s="1" t="str">
        <f aca="false">VLOOKUP(D45,Guests[[BIDDER '#]:[FIRST &amp; LAST NAME - Copy]],3,0)</f>
        <v>Sydney Bardsley</v>
      </c>
      <c r="D45" s="2" t="n">
        <f aca="true" t="array" ref="D45:D45">IF(INDIRECT(ADDRESS((ROW(A45)-2)*3+2,13))=0,"",INDIRECT(ADDRESS((ROW(A45)-2)*3+2,13)))</f>
        <v>4</v>
      </c>
      <c r="E45" s="3" t="n">
        <f aca="true" t="array" ref="E45:E45">INDIRECT(ADDRESS((ROW(C45)-2)*3+3,13))</f>
        <v>350</v>
      </c>
      <c r="F45" s="11" t="b">
        <f aca="false">IF(D45=$J$2,TRUE(),FALSE())</f>
        <v>0</v>
      </c>
      <c r="M45" s="14" t="n">
        <v>45</v>
      </c>
      <c r="N45" s="10" t="s">
        <v>8</v>
      </c>
    </row>
    <row r="46" customFormat="false" ht="15" hidden="false" customHeight="false" outlineLevel="0" collapsed="false">
      <c r="A46" s="1" t="n">
        <f aca="false">Items[[#This Row],[Item '#]]</f>
        <v>602</v>
      </c>
      <c r="B46" s="1" t="str">
        <f aca="false">Items[[#This Row],[Item Name]]</f>
        <v>Yankees Tickets (4)</v>
      </c>
      <c r="C46" s="1" t="str">
        <f aca="false">VLOOKUP(D46,Guests[[BIDDER '#]:[FIRST &amp; LAST NAME - Copy]],3,0)</f>
        <v>Andrew McGuire</v>
      </c>
      <c r="D46" s="2" t="n">
        <f aca="true" t="array" ref="D46:D46">IF(INDIRECT(ADDRESS((ROW(A46)-2)*3+2,13))=0,"",INDIRECT(ADDRESS((ROW(A46)-2)*3+2,13)))</f>
        <v>41</v>
      </c>
      <c r="E46" s="3" t="n">
        <f aca="true" t="array" ref="E46:E46">INDIRECT(ADDRESS((ROW(C46)-2)*3+3,13))</f>
        <v>200</v>
      </c>
      <c r="F46" s="11" t="b">
        <f aca="false">IF(D46=$J$2,TRUE(),FALSE())</f>
        <v>0</v>
      </c>
      <c r="M46" s="4" t="n">
        <v>309</v>
      </c>
      <c r="N46" s="10" t="s">
        <v>1</v>
      </c>
    </row>
    <row r="47" customFormat="false" ht="15" hidden="false" customHeight="false" outlineLevel="0" collapsed="false">
      <c r="A47" s="1" t="n">
        <f aca="false">Items[[#This Row],[Item '#]]</f>
        <v>603</v>
      </c>
      <c r="B47" s="1" t="str">
        <f aca="false">Items[[#This Row],[Item Name]]</f>
        <v>Yankees Tickets (2)</v>
      </c>
      <c r="C47" s="1" t="e">
        <f aca="false">VLOOKUP(D47,Guests[[BIDDER '#]:[FIRST &amp; LAST NAME - Copy]],3,0)</f>
        <v>#N/A</v>
      </c>
      <c r="D47" s="2" t="n">
        <v>1024</v>
      </c>
      <c r="E47" s="3" t="n">
        <f aca="true" t="array" ref="E47:E47">INDIRECT(ADDRESS((ROW(C47)-2)*3+3,13))</f>
        <v>175</v>
      </c>
      <c r="F47" s="11" t="b">
        <f aca="false">IF(D47=$J$2,TRUE(),FALSE())</f>
        <v>0</v>
      </c>
      <c r="M47" s="14" t="n">
        <v>18</v>
      </c>
      <c r="N47" s="10" t="s">
        <v>7</v>
      </c>
    </row>
    <row r="48" customFormat="false" ht="15" hidden="false" customHeight="false" outlineLevel="0" collapsed="false">
      <c r="A48" s="1" t="n">
        <f aca="false">Items[[#This Row],[Item '#]]</f>
        <v>701</v>
      </c>
      <c r="B48" s="1" t="str">
        <f aca="false">Items[[#This Row],[Item Name]]</f>
        <v>Painting by Tess Dennis    </v>
      </c>
      <c r="C48" s="1" t="str">
        <f aca="false">VLOOKUP(D48,Guests[[BIDDER '#]:[FIRST &amp; LAST NAME - Copy]],3,0)</f>
        <v>Brana Williams</v>
      </c>
      <c r="D48" s="2" t="n">
        <f aca="true" t="array" ref="D48:D48">IF(INDIRECT(ADDRESS((ROW(A48)-2)*3+2,13))=0,"",INDIRECT(ADDRESS((ROW(A48)-2)*3+2,13)))</f>
        <v>74</v>
      </c>
      <c r="E48" s="3" t="n">
        <f aca="true" t="array" ref="E48:E48">INDIRECT(ADDRESS((ROW(C48)-2)*3+3,13))</f>
        <v>170</v>
      </c>
      <c r="F48" s="11" t="b">
        <f aca="false">IF(D48=$J$2,TRUE(),FALSE())</f>
        <v>0</v>
      </c>
      <c r="M48" s="14" t="n">
        <v>55</v>
      </c>
      <c r="N48" s="10" t="s">
        <v>8</v>
      </c>
    </row>
    <row r="49" customFormat="false" ht="15" hidden="false" customHeight="false" outlineLevel="0" collapsed="false">
      <c r="A49" s="1" t="n">
        <f aca="false">Items[[#This Row],[Item '#]]</f>
        <v>702</v>
      </c>
      <c r="B49" s="1" t="str">
        <f aca="false">Items[[#This Row],[Item Name]]</f>
        <v>Katonah Art and Frame    </v>
      </c>
      <c r="C49" s="1" t="e">
        <f aca="false">VLOOKUP(D49,Guests[[BIDDER '#]:[FIRST &amp; LAST NAME - Copy]],3,0)</f>
        <v>#N/A</v>
      </c>
      <c r="D49" s="2" t="n">
        <v>1025</v>
      </c>
      <c r="E49" s="3" t="n">
        <f aca="true" t="array" ref="E49:E49">INDIRECT(ADDRESS((ROW(C49)-2)*3+3,13))</f>
        <v>35</v>
      </c>
      <c r="F49" s="11" t="b">
        <f aca="false">IF(D49=$J$2,TRUE(),FALSE())</f>
        <v>0</v>
      </c>
      <c r="M49" s="4" t="n">
        <v>401</v>
      </c>
      <c r="N49" s="10" t="s">
        <v>1</v>
      </c>
    </row>
    <row r="50" customFormat="false" ht="15" hidden="false" customHeight="false" outlineLevel="0" collapsed="false">
      <c r="A50" s="1" t="n">
        <f aca="false">Items[[#This Row],[Item '#]]</f>
        <v>703</v>
      </c>
      <c r="B50" s="1" t="str">
        <f aca="false">Items[[#This Row],[Item Name]]</f>
        <v>Tiffany Daffodil Needlepoint</v>
      </c>
      <c r="C50" s="1" t="str">
        <f aca="false">VLOOKUP(D50,Guests[[BIDDER '#]:[FIRST &amp; LAST NAME - Copy]],3,0)</f>
        <v>Genti Shehaj</v>
      </c>
      <c r="D50" s="2" t="n">
        <f aca="true" t="array" ref="D50:D50">IF(INDIRECT(ADDRESS((ROW(A50)-2)*3+2,13))=0,"",INDIRECT(ADDRESS((ROW(A50)-2)*3+2,13)))</f>
        <v>62</v>
      </c>
      <c r="E50" s="3" t="n">
        <f aca="true" t="array" ref="E50:E50">INDIRECT(ADDRESS((ROW(C50)-2)*3+3,13))</f>
        <v>200</v>
      </c>
      <c r="F50" s="11" t="b">
        <f aca="false">IF(D50=$J$2,TRUE(),FALSE())</f>
        <v>0</v>
      </c>
      <c r="M50" s="14" t="n">
        <v>29</v>
      </c>
      <c r="N50" s="10" t="s">
        <v>7</v>
      </c>
    </row>
    <row r="51" customFormat="false" ht="15" hidden="false" customHeight="false" outlineLevel="0" collapsed="false">
      <c r="A51" s="1" t="n">
        <f aca="false">Items[[#This Row],[Item '#]]</f>
        <v>704</v>
      </c>
      <c r="B51" s="1" t="str">
        <f aca="false">Items[[#This Row],[Item Name]]</f>
        <v>Exquisite Peacock Needlepoint</v>
      </c>
      <c r="C51" s="1" t="str">
        <f aca="false">VLOOKUP(D51,Guests[[BIDDER '#]:[FIRST &amp; LAST NAME - Copy]],3,0)</f>
        <v>Genti Shehaj</v>
      </c>
      <c r="D51" s="2" t="n">
        <f aca="true" t="array" ref="D51:D51">IF(INDIRECT(ADDRESS((ROW(A51)-2)*3+2,13))=0,"",INDIRECT(ADDRESS((ROW(A51)-2)*3+2,13)))</f>
        <v>62</v>
      </c>
      <c r="E51" s="3" t="n">
        <f aca="true" t="array" ref="E51:E51">INDIRECT(ADDRESS((ROW(C51)-2)*3+3,13))</f>
        <v>200</v>
      </c>
      <c r="F51" s="11" t="b">
        <f aca="false">IF(D51=$J$2,TRUE(),FALSE())</f>
        <v>0</v>
      </c>
      <c r="M51" s="14" t="n">
        <v>130</v>
      </c>
      <c r="N51" s="10" t="s">
        <v>8</v>
      </c>
    </row>
    <row r="52" customFormat="false" ht="15" hidden="false" customHeight="false" outlineLevel="0" collapsed="false">
      <c r="A52" s="1" t="n">
        <f aca="false">Items[[#This Row],[Item '#]]</f>
        <v>705</v>
      </c>
      <c r="B52" s="1" t="str">
        <f aca="false">Items[[#This Row],[Item Name]]</f>
        <v>Pet Portrait</v>
      </c>
      <c r="C52" s="1" t="str">
        <f aca="false">VLOOKUP(D52,Guests[[BIDDER '#]:[FIRST &amp; LAST NAME - Copy]],3,0)</f>
        <v>Susan Hupper</v>
      </c>
      <c r="D52" s="2" t="n">
        <f aca="true" t="array" ref="D52:D52">IF(INDIRECT(ADDRESS((ROW(A52)-2)*3+2,13))=0,"",INDIRECT(ADDRESS((ROW(A52)-2)*3+2,13)))</f>
        <v>28</v>
      </c>
      <c r="E52" s="3" t="n">
        <f aca="true" t="array" ref="E52:E52">INDIRECT(ADDRESS((ROW(C52)-2)*3+3,13))</f>
        <v>170</v>
      </c>
      <c r="F52" s="11" t="b">
        <f aca="false">IF(D52=$J$2,TRUE(),FALSE())</f>
        <v>0</v>
      </c>
      <c r="M52" s="4" t="n">
        <v>402</v>
      </c>
      <c r="N52" s="10" t="s">
        <v>1</v>
      </c>
    </row>
    <row r="53" customFormat="false" ht="15" hidden="false" customHeight="false" outlineLevel="0" collapsed="false">
      <c r="A53" s="1" t="n">
        <f aca="false">Items[[#This Row],[Item '#]]</f>
        <v>801</v>
      </c>
      <c r="B53" s="1" t="str">
        <f aca="false">Items[[#This Row],[Item Name]]</f>
        <v>Bradford Portraits      </v>
      </c>
      <c r="C53" s="1" t="str">
        <f aca="false">VLOOKUP(D53,Guests[[BIDDER '#]:[FIRST &amp; LAST NAME - Copy]],3,0)</f>
        <v>Genti Shehaj</v>
      </c>
      <c r="D53" s="2" t="n">
        <f aca="true" t="array" ref="D53:D53">IF(INDIRECT(ADDRESS((ROW(A53)-2)*3+2,13))=0,"",INDIRECT(ADDRESS((ROW(A53)-2)*3+2,13)))</f>
        <v>62</v>
      </c>
      <c r="E53" s="3" t="n">
        <f aca="true" t="array" ref="E53:E53">INDIRECT(ADDRESS((ROW(C53)-2)*3+3,13))</f>
        <v>350</v>
      </c>
      <c r="F53" s="11" t="b">
        <f aca="false">IF(D53=$J$2,TRUE(),FALSE())</f>
        <v>0</v>
      </c>
      <c r="M53" s="14" t="n">
        <v>48</v>
      </c>
      <c r="N53" s="10" t="s">
        <v>7</v>
      </c>
    </row>
    <row r="54" customFormat="false" ht="15" hidden="false" customHeight="false" outlineLevel="0" collapsed="false">
      <c r="A54" s="1" t="n">
        <f aca="false">Items[[#This Row],[Item '#]]</f>
        <v>802</v>
      </c>
      <c r="B54" s="1" t="str">
        <f aca="false">Items[[#This Row],[Item Name]]</f>
        <v>Breathing Coordination      </v>
      </c>
      <c r="C54" s="1" t="e">
        <f aca="false">VLOOKUP(D54,Guests[[BIDDER '#]:[FIRST &amp; LAST NAME - Copy]],3,0)</f>
        <v>#N/A</v>
      </c>
      <c r="D54" s="2" t="n">
        <v>1017</v>
      </c>
      <c r="E54" s="3" t="n">
        <f aca="true" t="array" ref="E54:E54">INDIRECT(ADDRESS((ROW(C54)-2)*3+3,13))</f>
        <v>170</v>
      </c>
      <c r="F54" s="11" t="b">
        <f aca="false">IF(D54=$J$2,TRUE(),FALSE())</f>
        <v>0</v>
      </c>
      <c r="M54" s="14" t="n">
        <v>80</v>
      </c>
      <c r="N54" s="10" t="s">
        <v>8</v>
      </c>
    </row>
    <row r="55" customFormat="false" ht="15" hidden="false" customHeight="false" outlineLevel="0" collapsed="false">
      <c r="A55" s="1" t="n">
        <f aca="false">Items[[#This Row],[Item '#]]</f>
        <v>803</v>
      </c>
      <c r="B55" s="1" t="str">
        <f aca="false">Items[[#This Row],[Item Name]]</f>
        <v>Choral Conducting Workshop Auditor    </v>
      </c>
      <c r="C55" s="1" t="e">
        <f aca="false">VLOOKUP(D55,Guests[[BIDDER '#]:[FIRST &amp; LAST NAME - Copy]],3,0)</f>
        <v>#N/A</v>
      </c>
      <c r="D55" s="2" t="str">
        <f aca="true" t="array" ref="D55:D55">IF(INDIRECT(ADDRESS((ROW(A55)-2)*3+2,13))=0,"",INDIRECT(ADDRESS((ROW(A55)-2)*3+2,13)))</f>
        <v>-</v>
      </c>
      <c r="E55" s="3" t="str">
        <f aca="true" t="array" ref="E55:E55">INDIRECT(ADDRESS((ROW(C55)-2)*3+3,13))</f>
        <v>-</v>
      </c>
      <c r="F55" s="11" t="b">
        <f aca="false">IF(D55=$J$2,TRUE(),FALSE())</f>
        <v>0</v>
      </c>
      <c r="M55" s="4" t="n">
        <v>403</v>
      </c>
      <c r="N55" s="10" t="s">
        <v>1</v>
      </c>
    </row>
    <row r="56" customFormat="false" ht="15" hidden="false" customHeight="false" outlineLevel="0" collapsed="false">
      <c r="A56" s="1" t="n">
        <f aca="false">Items[[#This Row],[Item '#]]</f>
        <v>804</v>
      </c>
      <c r="B56" s="1" t="str">
        <f aca="false">Items[[#This Row],[Item Name]]</f>
        <v>Organ Lesson – Gregory D’Agostino   </v>
      </c>
      <c r="C56" s="1" t="e">
        <f aca="false">VLOOKUP(D56,Guests[[BIDDER '#]:[FIRST &amp; LAST NAME - Copy]],3,0)</f>
        <v>#N/A</v>
      </c>
      <c r="D56" s="2" t="str">
        <f aca="true" t="array" ref="D56:D56">IF(INDIRECT(ADDRESS((ROW(A56)-2)*3+2,13))=0,"",INDIRECT(ADDRESS((ROW(A56)-2)*3+2,13)))</f>
        <v>-</v>
      </c>
      <c r="E56" s="3" t="str">
        <f aca="true" t="array" ref="E56:E56">INDIRECT(ADDRESS((ROW(C56)-2)*3+3,13))</f>
        <v>-</v>
      </c>
      <c r="F56" s="11" t="b">
        <f aca="false">IF(D56=$J$2,TRUE(),FALSE())</f>
        <v>0</v>
      </c>
      <c r="M56" s="14" t="s">
        <v>30</v>
      </c>
      <c r="N56" s="10" t="s">
        <v>7</v>
      </c>
    </row>
    <row r="57" customFormat="false" ht="15" hidden="false" customHeight="false" outlineLevel="0" collapsed="false">
      <c r="A57" s="1" t="n">
        <f aca="false">Items[[#This Row],[Item '#]]</f>
        <v>805</v>
      </c>
      <c r="B57" s="1" t="str">
        <f aca="false">Items[[#This Row],[Item Name]]</f>
        <v>Confidential Consultation – Ben Pologe, Ph.D.  </v>
      </c>
      <c r="C57" s="1" t="str">
        <f aca="false">VLOOKUP(D57,Guests[[BIDDER '#]:[FIRST &amp; LAST NAME - Copy]],3,0)</f>
        <v>Ann Lauria</v>
      </c>
      <c r="D57" s="2" t="n">
        <f aca="true" t="array" ref="D57:D57">IF(INDIRECT(ADDRESS((ROW(A57)-2)*3+2,13))=0,"",INDIRECT(ADDRESS((ROW(A57)-2)*3+2,13)))</f>
        <v>36</v>
      </c>
      <c r="E57" s="3" t="n">
        <f aca="true" t="array" ref="E57:E57">INDIRECT(ADDRESS((ROW(C57)-2)*3+3,13))</f>
        <v>75</v>
      </c>
      <c r="F57" s="11" t="b">
        <f aca="false">IF(D57=$J$2,TRUE(),FALSE())</f>
        <v>0</v>
      </c>
      <c r="M57" s="14" t="n">
        <v>90</v>
      </c>
      <c r="N57" s="10" t="s">
        <v>8</v>
      </c>
    </row>
    <row r="58" customFormat="false" ht="15" hidden="false" customHeight="false" outlineLevel="0" collapsed="false">
      <c r="A58" s="1" t="n">
        <f aca="false">Items[[#This Row],[Item '#]]</f>
        <v>806</v>
      </c>
      <c r="B58" s="1" t="str">
        <f aca="false">Items[[#This Row],[Item Name]]</f>
        <v>Gossett Nursery Gift Card    </v>
      </c>
      <c r="C58" s="1" t="str">
        <f aca="false">VLOOKUP(D58,Guests[[BIDDER '#]:[FIRST &amp; LAST NAME - Copy]],3,0)</f>
        <v>Ann Lauria</v>
      </c>
      <c r="D58" s="2" t="n">
        <f aca="true" t="array" ref="D58:D58">IF(INDIRECT(ADDRESS((ROW(A58)-2)*3+2,13))=0,"",INDIRECT(ADDRESS((ROW(A58)-2)*3+2,13)))</f>
        <v>36</v>
      </c>
      <c r="E58" s="3" t="n">
        <f aca="true" t="array" ref="E58:E58">INDIRECT(ADDRESS((ROW(C58)-2)*3+3,13))</f>
        <v>120</v>
      </c>
      <c r="F58" s="11" t="b">
        <f aca="false">IF(D58=$J$2,TRUE(),FALSE())</f>
        <v>0</v>
      </c>
      <c r="M58" s="4" t="n">
        <v>404</v>
      </c>
      <c r="N58" s="10" t="s">
        <v>1</v>
      </c>
    </row>
    <row r="59" customFormat="false" ht="15" hidden="false" customHeight="false" outlineLevel="0" collapsed="false">
      <c r="A59" s="1" t="n">
        <f aca="false">Items[[#This Row],[Item '#]]</f>
        <v>807</v>
      </c>
      <c r="B59" s="1" t="str">
        <f aca="false">Items[[#This Row],[Item Name]]</f>
        <v>Piano Lesson - Will Healy    </v>
      </c>
      <c r="C59" s="1" t="e">
        <f aca="false">VLOOKUP(D59,Guests[[BIDDER '#]:[FIRST &amp; LAST NAME - Copy]],3,0)</f>
        <v>#N/A</v>
      </c>
      <c r="D59" s="2" t="str">
        <f aca="true" t="array" ref="D59:D59">IF(INDIRECT(ADDRESS((ROW(A59)-2)*3+2,13))=0,"",INDIRECT(ADDRESS((ROW(A59)-2)*3+2,13)))</f>
        <v>-</v>
      </c>
      <c r="E59" s="3" t="str">
        <f aca="true" t="array" ref="E59:E59">INDIRECT(ADDRESS((ROW(C59)-2)*3+3,13))</f>
        <v>-</v>
      </c>
      <c r="F59" s="11" t="b">
        <f aca="false">IF(D59=$J$2,TRUE(),FALSE())</f>
        <v>0</v>
      </c>
      <c r="M59" s="14" t="n">
        <v>28</v>
      </c>
      <c r="N59" s="10" t="s">
        <v>7</v>
      </c>
    </row>
    <row r="60" customFormat="false" ht="15" hidden="false" customHeight="false" outlineLevel="0" collapsed="false">
      <c r="A60" s="1" t="n">
        <f aca="false">Items[[#This Row],[Item '#]]</f>
        <v>808</v>
      </c>
      <c r="B60" s="1" t="str">
        <f aca="false">Items[[#This Row],[Item Name]]</f>
        <v>Historic Hudson Valley     </v>
      </c>
      <c r="C60" s="1" t="str">
        <f aca="false">VLOOKUP(D60,Guests[[BIDDER '#]:[FIRST &amp; LAST NAME - Copy]],3,0)</f>
        <v>Dee McGuire</v>
      </c>
      <c r="D60" s="2" t="n">
        <f aca="true" t="array" ref="D60:D60">IF(INDIRECT(ADDRESS((ROW(A60)-2)*3+2,13))=0,"",INDIRECT(ADDRESS((ROW(A60)-2)*3+2,13)))</f>
        <v>46</v>
      </c>
      <c r="E60" s="3" t="n">
        <f aca="true" t="array" ref="E60:E60">INDIRECT(ADDRESS((ROW(C60)-2)*3+3,13))</f>
        <v>85</v>
      </c>
      <c r="F60" s="11" t="b">
        <f aca="false">IF(D60=$J$2,TRUE(),FALSE())</f>
        <v>0</v>
      </c>
      <c r="M60" s="14" t="n">
        <v>325</v>
      </c>
      <c r="N60" s="10" t="s">
        <v>8</v>
      </c>
    </row>
    <row r="61" customFormat="false" ht="15" hidden="false" customHeight="false" outlineLevel="0" collapsed="false">
      <c r="A61" s="1" t="n">
        <f aca="false">Items[[#This Row],[Item '#]]</f>
        <v>809</v>
      </c>
      <c r="B61" s="1" t="str">
        <f aca="false">Items[[#This Row],[Item Name]]</f>
        <v>Study with the Maestro    </v>
      </c>
      <c r="C61" s="1" t="e">
        <f aca="false">VLOOKUP(D61,Guests[[BIDDER '#]:[FIRST &amp; LAST NAME - Copy]],3,0)</f>
        <v>#N/A</v>
      </c>
      <c r="D61" s="2" t="n">
        <v>1026</v>
      </c>
      <c r="E61" s="3" t="n">
        <f aca="true" t="array" ref="E61:E61">INDIRECT(ADDRESS((ROW(C61)-2)*3+3,13))</f>
        <v>135</v>
      </c>
      <c r="F61" s="11" t="b">
        <f aca="false">IF(D61=$J$2,TRUE(),FALSE())</f>
        <v>0</v>
      </c>
      <c r="M61" s="4" t="n">
        <v>405</v>
      </c>
      <c r="N61" s="10" t="s">
        <v>1</v>
      </c>
    </row>
    <row r="62" customFormat="false" ht="15" hidden="false" customHeight="false" outlineLevel="0" collapsed="false">
      <c r="A62" s="1" t="n">
        <f aca="false">Items[[#This Row],[Item '#]]</f>
        <v>810</v>
      </c>
      <c r="B62" s="1" t="str">
        <f aca="false">Items[[#This Row],[Item Name]]</f>
        <v>Thai Massage      </v>
      </c>
      <c r="C62" s="1" t="str">
        <f aca="false">VLOOKUP(D62,Guests[[BIDDER '#]:[FIRST &amp; LAST NAME - Copy]],3,0)</f>
        <v>Susan Morello</v>
      </c>
      <c r="D62" s="2" t="n">
        <f aca="true" t="array" ref="D62:D62">IF(INDIRECT(ADDRESS((ROW(A62)-2)*3+2,13))=0,"",INDIRECT(ADDRESS((ROW(A62)-2)*3+2,13)))</f>
        <v>49</v>
      </c>
      <c r="E62" s="3" t="n">
        <f aca="true" t="array" ref="E62:E62">INDIRECT(ADDRESS((ROW(C62)-2)*3+3,13))</f>
        <v>85</v>
      </c>
      <c r="F62" s="11" t="b">
        <f aca="false">IF(D62=$J$2,TRUE(),FALSE())</f>
        <v>0</v>
      </c>
      <c r="M62" s="14" t="s">
        <v>31</v>
      </c>
      <c r="N62" s="10" t="s">
        <v>7</v>
      </c>
    </row>
    <row r="63" customFormat="false" ht="15" hidden="false" customHeight="false" outlineLevel="0" collapsed="false">
      <c r="A63" s="1" t="n">
        <f aca="false">Items[[#This Row],[Item '#]]</f>
        <v>811</v>
      </c>
      <c r="B63" s="1" t="str">
        <f aca="false">Items[[#This Row],[Item Name]]</f>
        <v>Voice Lessons – Ellen Sisson   </v>
      </c>
      <c r="C63" s="1" t="e">
        <f aca="false">VLOOKUP(D63,Guests[[BIDDER '#]:[FIRST &amp; LAST NAME - Copy]],3,0)</f>
        <v>#N/A</v>
      </c>
      <c r="D63" s="2" t="n">
        <v>1017</v>
      </c>
      <c r="E63" s="3" t="n">
        <f aca="true" t="array" ref="E63:E63">INDIRECT(ADDRESS((ROW(C63)-2)*3+3,13))</f>
        <v>85</v>
      </c>
      <c r="F63" s="11" t="b">
        <f aca="false">IF(D63=$J$2,TRUE(),FALSE())</f>
        <v>0</v>
      </c>
      <c r="M63" s="14" t="n">
        <v>275</v>
      </c>
      <c r="N63" s="10" t="s">
        <v>8</v>
      </c>
    </row>
    <row r="64" customFormat="false" ht="15" hidden="false" customHeight="false" outlineLevel="0" collapsed="false">
      <c r="A64" s="1" t="n">
        <f aca="false">Items[[#This Row],[Item '#]]</f>
        <v>812</v>
      </c>
      <c r="B64" s="1" t="str">
        <f aca="false">Items[[#This Row],[Item Name]]</f>
        <v>Voice Lesson or Coaching - Ellen Lang</v>
      </c>
      <c r="C64" s="1" t="str">
        <f aca="false">VLOOKUP(D64,Guests[[BIDDER '#]:[FIRST &amp; LAST NAME - Copy]],3,0)</f>
        <v>Stuart Feldman</v>
      </c>
      <c r="D64" s="2" t="n">
        <f aca="true" t="array" ref="D64:D64">IF(INDIRECT(ADDRESS((ROW(A64)-2)*3+2,13))=0,"",INDIRECT(ADDRESS((ROW(A64)-2)*3+2,13)))</f>
        <v>17</v>
      </c>
      <c r="E64" s="3" t="n">
        <f aca="true" t="array" ref="E64:E64">INDIRECT(ADDRESS((ROW(C64)-2)*3+3,13))</f>
        <v>75</v>
      </c>
      <c r="F64" s="11" t="b">
        <f aca="false">IF(D64=$J$2,TRUE(),FALSE())</f>
        <v>0</v>
      </c>
      <c r="M64" s="4" t="n">
        <v>406</v>
      </c>
      <c r="N64" s="10" t="s">
        <v>1</v>
      </c>
    </row>
    <row r="65" customFormat="false" ht="15" hidden="false" customHeight="false" outlineLevel="0" collapsed="false">
      <c r="A65" s="1" t="n">
        <f aca="false">Items[[#This Row],[Item '#]]</f>
        <v>813</v>
      </c>
      <c r="B65" s="1" t="str">
        <f aca="false">Items[[#This Row],[Item Name]]</f>
        <v>Tour of the Aaron Copland Historic Landmark home</v>
      </c>
      <c r="C65" s="1" t="str">
        <f aca="false">VLOOKUP(D65,Guests[[BIDDER '#]:[FIRST &amp; LAST NAME - Copy]],3,0)</f>
        <v>Susan Hupper</v>
      </c>
      <c r="D65" s="2" t="n">
        <f aca="true" t="array" ref="D65:D65">IF(INDIRECT(ADDRESS((ROW(A65)-2)*3+2,13))=0,"",INDIRECT(ADDRESS((ROW(A65)-2)*3+2,13)))</f>
        <v>28</v>
      </c>
      <c r="E65" s="3" t="n">
        <f aca="true" t="array" ref="E65:E65">INDIRECT(ADDRESS((ROW(C65)-2)*3+3,13))</f>
        <v>50</v>
      </c>
      <c r="F65" s="11" t="b">
        <f aca="false">IF(D65=$J$2,TRUE(),FALSE())</f>
        <v>0</v>
      </c>
      <c r="M65" s="14" t="s">
        <v>15</v>
      </c>
      <c r="N65" s="10" t="s">
        <v>7</v>
      </c>
    </row>
    <row r="66" customFormat="false" ht="15" hidden="false" customHeight="false" outlineLevel="0" collapsed="false">
      <c r="A66" s="1" t="n">
        <f aca="false">Items[[#This Row],[Item '#]]</f>
        <v>814</v>
      </c>
      <c r="B66" s="1" t="str">
        <f aca="false">Items[[#This Row],[Item Name]]</f>
        <v>Houseplant Plant Spa gift pack</v>
      </c>
      <c r="C66" s="1" t="str">
        <f aca="false">VLOOKUP(D66,Guests[[BIDDER '#]:[FIRST &amp; LAST NAME - Copy]],3,0)</f>
        <v>Ann Lauria</v>
      </c>
      <c r="D66" s="2" t="n">
        <f aca="true" t="array" ref="D66:D66">IF(INDIRECT(ADDRESS((ROW(A66)-2)*3+2,13))=0,"",INDIRECT(ADDRESS((ROW(A66)-2)*3+2,13)))</f>
        <v>36</v>
      </c>
      <c r="E66" s="3" t="n">
        <f aca="true" t="array" ref="E66:E66">INDIRECT(ADDRESS((ROW(C66)-2)*3+3,13))</f>
        <v>30</v>
      </c>
      <c r="F66" s="11" t="b">
        <f aca="false">IF(D66=$J$2,TRUE(),FALSE())</f>
        <v>0</v>
      </c>
      <c r="M66" s="14" t="n">
        <v>145</v>
      </c>
      <c r="N66" s="10" t="s">
        <v>8</v>
      </c>
    </row>
    <row r="67" customFormat="false" ht="15" hidden="false" customHeight="false" outlineLevel="0" collapsed="false">
      <c r="A67" s="1" t="n">
        <f aca="false">Items[[#This Row],[Item '#]]</f>
        <v>815</v>
      </c>
      <c r="B67" s="1" t="str">
        <f aca="false">Items[[#This Row],[Item Name]]</f>
        <v>Mary Mogil Fitness</v>
      </c>
      <c r="C67" s="1" t="str">
        <f aca="false">VLOOKUP(D67,Guests[[BIDDER '#]:[FIRST &amp; LAST NAME - Copy]],3,0)</f>
        <v>Belinda Rowsell</v>
      </c>
      <c r="D67" s="2" t="n">
        <f aca="true" t="array" ref="D67:D67">IF(INDIRECT(ADDRESS((ROW(A67)-2)*3+2,13))=0,"",INDIRECT(ADDRESS((ROW(A67)-2)*3+2,13)))</f>
        <v>60</v>
      </c>
      <c r="E67" s="3" t="n">
        <f aca="true" t="array" ref="E67:E67">INDIRECT(ADDRESS((ROW(C67)-2)*3+3,13))</f>
        <v>115</v>
      </c>
      <c r="F67" s="11" t="b">
        <f aca="false">IF(D67=$J$2,TRUE(),FALSE())</f>
        <v>0</v>
      </c>
      <c r="M67" s="4" t="n">
        <v>407</v>
      </c>
      <c r="N67" s="10" t="s">
        <v>1</v>
      </c>
    </row>
    <row r="68" customFormat="false" ht="15" hidden="false" customHeight="false" outlineLevel="0" collapsed="false">
      <c r="A68" s="1" t="n">
        <f aca="false">Items[[#This Row],[Item '#]]</f>
        <v>816</v>
      </c>
      <c r="B68" s="1" t="str">
        <f aca="false">Items[[#This Row],[Item Name]]</f>
        <v>1-Hour Nutrition Tune-Up Service</v>
      </c>
      <c r="C68" s="1" t="e">
        <f aca="false">VLOOKUP(D68,Guests[[BIDDER '#]:[FIRST &amp; LAST NAME - Copy]],3,0)</f>
        <v>#N/A</v>
      </c>
      <c r="D68" s="2" t="str">
        <f aca="true" t="array" ref="D68:D68">IF(INDIRECT(ADDRESS((ROW(A68)-2)*3+2,13))=0,"",INDIRECT(ADDRESS((ROW(A68)-2)*3+2,13)))</f>
        <v>-</v>
      </c>
      <c r="E68" s="3" t="str">
        <f aca="true" t="array" ref="E68:E68">INDIRECT(ADDRESS((ROW(C68)-2)*3+3,13))</f>
        <v>-</v>
      </c>
      <c r="F68" s="11" t="b">
        <f aca="false">IF(D68=$J$2,TRUE(),FALSE())</f>
        <v>0</v>
      </c>
      <c r="M68" s="14" t="n">
        <v>31</v>
      </c>
      <c r="N68" s="10" t="s">
        <v>7</v>
      </c>
    </row>
    <row r="69" customFormat="false" ht="15" hidden="false" customHeight="false" outlineLevel="0" collapsed="false">
      <c r="A69" s="1" t="n">
        <f aca="false">Items[[#This Row],[Item '#]]</f>
        <v>817</v>
      </c>
      <c r="B69" s="1" t="str">
        <f aca="false">Items[[#This Row],[Item Name]]</f>
        <v>James Bassi - Piano or Composition Lesson</v>
      </c>
      <c r="C69" s="1" t="e">
        <f aca="false">VLOOKUP(D69,Guests[[BIDDER '#]:[FIRST &amp; LAST NAME - Copy]],3,0)</f>
        <v>#N/A</v>
      </c>
      <c r="D69" s="2" t="n">
        <v>1027</v>
      </c>
      <c r="E69" s="3" t="n">
        <f aca="true" t="array" ref="E69:E69">INDIRECT(ADDRESS((ROW(C69)-2)*3+3,13))</f>
        <v>80</v>
      </c>
      <c r="F69" s="11" t="b">
        <f aca="false">IF(D69=$J$2,TRUE(),FALSE())</f>
        <v>0</v>
      </c>
      <c r="M69" s="14" t="n">
        <v>105</v>
      </c>
      <c r="N69" s="10" t="s">
        <v>8</v>
      </c>
    </row>
    <row r="70" customFormat="false" ht="15" hidden="false" customHeight="false" outlineLevel="0" collapsed="false">
      <c r="A70" s="1" t="n">
        <f aca="false">Items[[#This Row],[Item '#]]</f>
        <v>901</v>
      </c>
      <c r="B70" s="1" t="str">
        <f aca="false">Items[[#This Row],[Item Name]]</f>
        <v>ORCHID</v>
      </c>
      <c r="C70" s="1" t="str">
        <f aca="false">VLOOKUP(D70,Guests[[BIDDER '#]:[FIRST &amp; LAST NAME - Copy]],3,0)</f>
        <v>Frannie Kaufman</v>
      </c>
      <c r="D70" s="2" t="n">
        <f aca="true" t="array" ref="D70:D70">IF(INDIRECT(ADDRESS((ROW(A70)-2)*3+2,13))=0,"",INDIRECT(ADDRESS((ROW(A70)-2)*3+2,13)))</f>
        <v>34</v>
      </c>
      <c r="E70" s="3" t="n">
        <f aca="true" t="array" ref="E70:E70">INDIRECT(ADDRESS((ROW(C70)-2)*3+3,13))</f>
        <v>35</v>
      </c>
      <c r="F70" s="11" t="b">
        <f aca="false">IF(D70=$J$2,TRUE(),FALSE())</f>
        <v>0</v>
      </c>
      <c r="M70" s="4" t="n">
        <v>408</v>
      </c>
      <c r="N70" s="10" t="s">
        <v>1</v>
      </c>
    </row>
    <row r="71" customFormat="false" ht="15" hidden="false" customHeight="false" outlineLevel="0" collapsed="false">
      <c r="A71" s="1" t="n">
        <f aca="false">Items[[#This Row],[Item '#]]</f>
        <v>902</v>
      </c>
      <c r="B71" s="1" t="str">
        <f aca="false">Items[[#This Row],[Item Name]]</f>
        <v>ORCHID</v>
      </c>
      <c r="C71" s="1" t="str">
        <f aca="false">VLOOKUP(D71,Guests[[BIDDER '#]:[FIRST &amp; LAST NAME - Copy]],3,0)</f>
        <v>Stuart Feldman</v>
      </c>
      <c r="D71" s="2" t="n">
        <f aca="true" t="array" ref="D71:D71">IF(INDIRECT(ADDRESS((ROW(A71)-2)*3+2,13))=0,"",INDIRECT(ADDRESS((ROW(A71)-2)*3+2,13)))</f>
        <v>17</v>
      </c>
      <c r="E71" s="3" t="n">
        <f aca="true" t="array" ref="E71:E71">INDIRECT(ADDRESS((ROW(C71)-2)*3+3,13))</f>
        <v>35</v>
      </c>
      <c r="F71" s="11" t="b">
        <f aca="false">IF(D71=$J$2,TRUE(),FALSE())</f>
        <v>0</v>
      </c>
      <c r="M71" s="14" t="s">
        <v>15</v>
      </c>
      <c r="N71" s="10" t="s">
        <v>7</v>
      </c>
    </row>
    <row r="72" customFormat="false" ht="15" hidden="false" customHeight="false" outlineLevel="0" collapsed="false">
      <c r="A72" s="1" t="n">
        <f aca="false">Items[[#This Row],[Item '#]]</f>
        <v>903</v>
      </c>
      <c r="B72" s="1" t="str">
        <f aca="false">Items[[#This Row],[Item Name]]</f>
        <v>ORCHID</v>
      </c>
      <c r="C72" s="1" t="e">
        <f aca="false">VLOOKUP(D72,Guests[[BIDDER '#]:[FIRST &amp; LAST NAME - Copy]],3,0)</f>
        <v>#N/A</v>
      </c>
      <c r="D72" s="2" t="str">
        <f aca="true" t="array" ref="D72:D72">IF(INDIRECT(ADDRESS((ROW(A72)-2)*3+2,13))=0,"",INDIRECT(ADDRESS((ROW(A72)-2)*3+2,13)))</f>
        <v/>
      </c>
      <c r="E72" s="3" t="n">
        <f aca="true">INDIRECT(ADDRESS((ROW(C72)-2)*3+3,13))</f>
        <v>0</v>
      </c>
      <c r="F72" s="11" t="b">
        <f aca="false">IF(D72=$J$2,TRUE(),FALSE())</f>
        <v>0</v>
      </c>
      <c r="M72" s="14" t="n">
        <v>80</v>
      </c>
      <c r="N72" s="10" t="s">
        <v>8</v>
      </c>
    </row>
    <row r="73" customFormat="false" ht="15" hidden="false" customHeight="false" outlineLevel="0" collapsed="false">
      <c r="A73" s="1" t="n">
        <f aca="false">Items[[#This Row],[Item '#]]</f>
        <v>904</v>
      </c>
      <c r="B73" s="1" t="str">
        <f aca="false">Items[[#This Row],[Item Name]]</f>
        <v>ORCHID</v>
      </c>
      <c r="C73" s="1" t="str">
        <f aca="false">VLOOKUP(D73,Guests[[BIDDER '#]:[FIRST &amp; LAST NAME - Copy]],3,0)</f>
        <v>Frank Perdomo</v>
      </c>
      <c r="D73" s="2" t="n">
        <f aca="true" t="array" ref="D73:D73">IF(INDIRECT(ADDRESS((ROW(A73)-2)*3+2,13))=0,"",INDIRECT(ADDRESS((ROW(A73)-2)*3+2,13)))</f>
        <v>54</v>
      </c>
      <c r="E73" s="3" t="n">
        <f aca="true" t="array" ref="E73:E73">INDIRECT(ADDRESS((ROW(C73)-2)*3+3,13))</f>
        <v>35</v>
      </c>
      <c r="F73" s="11" t="b">
        <f aca="false">IF(D73=$J$2,TRUE(),FALSE())</f>
        <v>0</v>
      </c>
      <c r="M73" s="4" t="n">
        <v>501</v>
      </c>
      <c r="N73" s="10" t="s">
        <v>1</v>
      </c>
    </row>
    <row r="74" customFormat="false" ht="15" hidden="false" customHeight="false" outlineLevel="0" collapsed="false">
      <c r="A74" s="1" t="n">
        <f aca="false">Items[[#This Row],[Item '#]]</f>
        <v>905</v>
      </c>
      <c r="B74" s="1" t="str">
        <f aca="false">Items[[#This Row],[Item Name]]</f>
        <v>ORCHID</v>
      </c>
      <c r="C74" s="1" t="e">
        <f aca="false">VLOOKUP(D74,Guests[[BIDDER '#]:[FIRST &amp; LAST NAME - Copy]],3,0)</f>
        <v>#N/A</v>
      </c>
      <c r="D74" s="2" t="str">
        <f aca="true" t="array" ref="D74:D74">IF(INDIRECT(ADDRESS((ROW(A74)-2)*3+2,13))=0,"",INDIRECT(ADDRESS((ROW(A74)-2)*3+2,13)))</f>
        <v/>
      </c>
      <c r="E74" s="3" t="n">
        <f aca="true">INDIRECT(ADDRESS((ROW(C74)-2)*3+3,13))</f>
        <v>0</v>
      </c>
      <c r="F74" s="11" t="b">
        <f aca="false">IF(D74=$J$2,TRUE(),FALSE())</f>
        <v>0</v>
      </c>
      <c r="M74" s="14" t="s">
        <v>29</v>
      </c>
      <c r="N74" s="10" t="s">
        <v>7</v>
      </c>
    </row>
    <row r="75" customFormat="false" ht="15" hidden="false" customHeight="false" outlineLevel="0" collapsed="false">
      <c r="A75" s="1" t="n">
        <f aca="false">Items[[#This Row],[Item '#]]</f>
        <v>906</v>
      </c>
      <c r="B75" s="1" t="str">
        <f aca="false">Items[[#This Row],[Item Name]]</f>
        <v>ORCHID</v>
      </c>
      <c r="C75" s="1" t="e">
        <f aca="false">VLOOKUP(D75,Guests[[BIDDER '#]:[FIRST &amp; LAST NAME - Copy]],3,0)</f>
        <v>#N/A</v>
      </c>
      <c r="D75" s="2" t="str">
        <f aca="true" t="array" ref="D75:D75">IF(INDIRECT(ADDRESS((ROW(A75)-2)*3+2,13))=0,"",INDIRECT(ADDRESS((ROW(A75)-2)*3+2,13)))</f>
        <v/>
      </c>
      <c r="E75" s="3" t="n">
        <f aca="true">INDIRECT(ADDRESS((ROW(C75)-2)*3+3,13))</f>
        <v>0</v>
      </c>
      <c r="F75" s="11" t="b">
        <f aca="false">IF(D75=$J$2,TRUE(),FALSE())</f>
        <v>0</v>
      </c>
      <c r="M75" s="14" t="n">
        <v>135</v>
      </c>
      <c r="N75" s="10" t="s">
        <v>8</v>
      </c>
    </row>
    <row r="76" customFormat="false" ht="15" hidden="false" customHeight="false" outlineLevel="0" collapsed="false">
      <c r="A76" s="1" t="n">
        <f aca="false">Items[[#This Row],[Item '#]]</f>
        <v>907</v>
      </c>
      <c r="B76" s="1" t="str">
        <f aca="false">Items[[#This Row],[Item Name]]</f>
        <v>ORCHID</v>
      </c>
      <c r="C76" s="1" t="e">
        <f aca="false">VLOOKUP(D76,Guests[[BIDDER '#]:[FIRST &amp; LAST NAME - Copy]],3,0)</f>
        <v>#N/A</v>
      </c>
      <c r="D76" s="2" t="str">
        <f aca="true" t="array" ref="D76:D76">IF(INDIRECT(ADDRESS((ROW(A76)-2)*3+2,13))=0,"",INDIRECT(ADDRESS((ROW(A76)-2)*3+2,13)))</f>
        <v/>
      </c>
      <c r="E76" s="3" t="n">
        <f aca="true">INDIRECT(ADDRESS((ROW(C76)-2)*3+3,13))</f>
        <v>0</v>
      </c>
      <c r="F76" s="11" t="b">
        <f aca="false">IF(D76=$J$2,TRUE(),FALSE())</f>
        <v>0</v>
      </c>
      <c r="M76" s="4" t="n">
        <v>502</v>
      </c>
      <c r="N76" s="10" t="s">
        <v>1</v>
      </c>
    </row>
    <row r="77" customFormat="false" ht="15" hidden="false" customHeight="false" outlineLevel="0" collapsed="false">
      <c r="A77" s="1" t="n">
        <f aca="false">Items[[#This Row],[Item '#]]</f>
        <v>908</v>
      </c>
      <c r="B77" s="1" t="str">
        <f aca="false">Items[[#This Row],[Item Name]]</f>
        <v>ORCHID</v>
      </c>
      <c r="C77" s="1" t="e">
        <f aca="false">VLOOKUP(D77,Guests[[BIDDER '#]:[FIRST &amp; LAST NAME - Copy]],3,0)</f>
        <v>#N/A</v>
      </c>
      <c r="D77" s="2" t="str">
        <f aca="true" t="array" ref="D77:D77">IF(INDIRECT(ADDRESS((ROW(A77)-2)*3+2,13))=0,"",INDIRECT(ADDRESS((ROW(A77)-2)*3+2,13)))</f>
        <v/>
      </c>
      <c r="E77" s="3" t="n">
        <f aca="true">INDIRECT(ADDRESS((ROW(C77)-2)*3+3,13))</f>
        <v>0</v>
      </c>
      <c r="F77" s="11" t="b">
        <f aca="false">IF(D77=$J$2,TRUE(),FALSE())</f>
        <v>0</v>
      </c>
      <c r="M77" s="14" t="n">
        <v>6</v>
      </c>
      <c r="N77" s="10" t="s">
        <v>7</v>
      </c>
    </row>
    <row r="78" customFormat="false" ht="15" hidden="false" customHeight="false" outlineLevel="0" collapsed="false">
      <c r="A78" s="1" t="n">
        <f aca="false">Items[[#This Row],[Item '#]]</f>
        <v>909</v>
      </c>
      <c r="B78" s="1" t="str">
        <f aca="false">Items[[#This Row],[Item Name]]</f>
        <v>ORCHID</v>
      </c>
      <c r="C78" s="1" t="e">
        <f aca="false">VLOOKUP(D78,Guests[[BIDDER '#]:[FIRST &amp; LAST NAME - Copy]],3,0)</f>
        <v>#N/A</v>
      </c>
      <c r="D78" s="2" t="str">
        <f aca="true" t="array" ref="D78:D78">IF(INDIRECT(ADDRESS((ROW(A78)-2)*3+2,13))=0,"",INDIRECT(ADDRESS((ROW(A78)-2)*3+2,13)))</f>
        <v/>
      </c>
      <c r="E78" s="3" t="n">
        <f aca="true">INDIRECT(ADDRESS((ROW(C78)-2)*3+3,13))</f>
        <v>0</v>
      </c>
      <c r="F78" s="11" t="b">
        <f aca="false">IF(D78=$J$2,TRUE(),FALSE())</f>
        <v>0</v>
      </c>
      <c r="M78" s="14" t="n">
        <v>50</v>
      </c>
      <c r="N78" s="10" t="s">
        <v>8</v>
      </c>
    </row>
    <row r="79" customFormat="false" ht="15" hidden="false" customHeight="false" outlineLevel="0" collapsed="false">
      <c r="A79" s="1" t="n">
        <f aca="false">Items[[#This Row],[Item '#]]</f>
        <v>910</v>
      </c>
      <c r="B79" s="1" t="str">
        <f aca="false">Items[[#This Row],[Item Name]]</f>
        <v>ORCHID</v>
      </c>
      <c r="C79" s="1" t="e">
        <f aca="false">VLOOKUP(D79,Guests[[BIDDER '#]:[FIRST &amp; LAST NAME - Copy]],3,0)</f>
        <v>#N/A</v>
      </c>
      <c r="D79" s="2" t="str">
        <f aca="true" t="array" ref="D79:D79">IF(INDIRECT(ADDRESS((ROW(A79)-2)*3+2,13))=0,"",INDIRECT(ADDRESS((ROW(A79)-2)*3+2,13)))</f>
        <v/>
      </c>
      <c r="E79" s="3" t="n">
        <f aca="true">INDIRECT(ADDRESS((ROW(C79)-2)*3+3,13))</f>
        <v>0</v>
      </c>
      <c r="F79" s="11" t="b">
        <f aca="false">IF(D79=$J$2,TRUE(),FALSE())</f>
        <v>0</v>
      </c>
      <c r="M79" s="4" t="n">
        <v>503</v>
      </c>
      <c r="N79" s="10" t="s">
        <v>1</v>
      </c>
    </row>
    <row r="80" customFormat="false" ht="15" hidden="false" customHeight="false" outlineLevel="0" collapsed="false">
      <c r="A80" s="1" t="n">
        <f aca="false">Items[[#This Row],[Item '#]]</f>
        <v>911</v>
      </c>
      <c r="B80" s="1" t="str">
        <f aca="false">Items[[#This Row],[Item Name]]</f>
        <v>ORCHID</v>
      </c>
      <c r="C80" s="1" t="str">
        <f aca="false">VLOOKUP(D80,Guests[[BIDDER '#]:[FIRST &amp; LAST NAME - Copy]],3,0)</f>
        <v>Ann Lauria</v>
      </c>
      <c r="D80" s="2" t="n">
        <f aca="true" t="array" ref="D80:D80">IF(INDIRECT(ADDRESS((ROW(A80)-2)*3+2,13))=0,"",INDIRECT(ADDRESS((ROW(A80)-2)*3+2,13)))</f>
        <v>36</v>
      </c>
      <c r="E80" s="3" t="n">
        <f aca="true" t="array" ref="E80:E80">INDIRECT(ADDRESS((ROW(C80)-2)*3+3,13))</f>
        <v>35</v>
      </c>
      <c r="F80" s="11" t="b">
        <f aca="false">IF(D80=$J$2,TRUE(),FALSE())</f>
        <v>0</v>
      </c>
      <c r="M80" s="14" t="n">
        <v>48</v>
      </c>
      <c r="N80" s="10" t="s">
        <v>7</v>
      </c>
    </row>
    <row r="81" customFormat="false" ht="15" hidden="false" customHeight="false" outlineLevel="0" collapsed="false">
      <c r="A81" s="1" t="n">
        <f aca="false">Items[[#This Row],[Item '#]]</f>
        <v>912</v>
      </c>
      <c r="B81" s="1" t="str">
        <f aca="false">Items[[#This Row],[Item Name]]</f>
        <v>ORCHID</v>
      </c>
      <c r="C81" s="1" t="str">
        <f aca="false">VLOOKUP(D81,Guests[[BIDDER '#]:[FIRST &amp; LAST NAME - Copy]],3,0)</f>
        <v>Nan Coffee</v>
      </c>
      <c r="D81" s="2" t="n">
        <f aca="true" t="array" ref="D81:D81">IF(INDIRECT(ADDRESS((ROW(A81)-2)*3+2,13))=0,"",INDIRECT(ADDRESS((ROW(A81)-2)*3+2,13)))</f>
        <v>10</v>
      </c>
      <c r="E81" s="3" t="n">
        <f aca="true" t="array" ref="E81:E81">INDIRECT(ADDRESS((ROW(C81)-2)*3+3,13))</f>
        <v>35</v>
      </c>
      <c r="F81" s="11" t="b">
        <f aca="false">IF(D81=$J$2,TRUE(),FALSE())</f>
        <v>0</v>
      </c>
      <c r="M81" s="14" t="n">
        <v>110</v>
      </c>
      <c r="N81" s="10" t="s">
        <v>8</v>
      </c>
    </row>
    <row r="82" customFormat="false" ht="15" hidden="false" customHeight="false" outlineLevel="0" collapsed="false">
      <c r="A82" s="1" t="n">
        <f aca="false">Items[[#This Row],[Item '#]]</f>
        <v>913</v>
      </c>
      <c r="B82" s="1" t="str">
        <f aca="false">Items[[#This Row],[Item Name]]</f>
        <v>ORCHID</v>
      </c>
      <c r="C82" s="1" t="str">
        <f aca="false">VLOOKUP(D82,Guests[[BIDDER '#]:[FIRST &amp; LAST NAME - Copy]],3,0)</f>
        <v>Susan Hupper</v>
      </c>
      <c r="D82" s="2" t="n">
        <f aca="true" t="array" ref="D82:D82">IF(INDIRECT(ADDRESS((ROW(A82)-2)*3+2,13))=0,"",INDIRECT(ADDRESS((ROW(A82)-2)*3+2,13)))</f>
        <v>28</v>
      </c>
      <c r="E82" s="3" t="n">
        <f aca="true" t="array" ref="E82:E82">INDIRECT(ADDRESS((ROW(C82)-2)*3+3,13))</f>
        <v>35</v>
      </c>
      <c r="F82" s="11" t="b">
        <f aca="false">IF(D82=$J$2,TRUE(),FALSE())</f>
        <v>0</v>
      </c>
      <c r="M82" s="4" t="n">
        <v>504</v>
      </c>
      <c r="N82" s="10" t="s">
        <v>1</v>
      </c>
    </row>
    <row r="83" customFormat="false" ht="15" hidden="false" customHeight="false" outlineLevel="0" collapsed="false">
      <c r="A83" s="1" t="n">
        <f aca="false">Items[[#This Row],[Item '#]]</f>
        <v>914</v>
      </c>
      <c r="B83" s="1" t="str">
        <f aca="false">Items[[#This Row],[Item Name]]</f>
        <v>ORCHID</v>
      </c>
      <c r="C83" s="1" t="str">
        <f aca="false">VLOOKUP(D83,Guests[[BIDDER '#]:[FIRST &amp; LAST NAME - Copy]],3,0)</f>
        <v>Susan Hupper</v>
      </c>
      <c r="D83" s="2" t="n">
        <f aca="true" t="array" ref="D83:D83">IF(INDIRECT(ADDRESS((ROW(A83)-2)*3+2,13))=0,"",INDIRECT(ADDRESS((ROW(A83)-2)*3+2,13)))</f>
        <v>28</v>
      </c>
      <c r="E83" s="3" t="n">
        <f aca="true" t="array" ref="E83:E83">INDIRECT(ADDRESS((ROW(C83)-2)*3+3,13))</f>
        <v>35</v>
      </c>
      <c r="F83" s="11" t="b">
        <f aca="false">IF(D83=$J$2,TRUE(),FALSE())</f>
        <v>0</v>
      </c>
      <c r="M83" s="14" t="n">
        <v>66</v>
      </c>
      <c r="N83" s="10" t="s">
        <v>7</v>
      </c>
    </row>
    <row r="84" customFormat="false" ht="15" hidden="false" customHeight="false" outlineLevel="0" collapsed="false">
      <c r="M84" s="14" t="n">
        <v>250</v>
      </c>
      <c r="N84" s="10" t="s">
        <v>8</v>
      </c>
    </row>
    <row r="85" customFormat="false" ht="15" hidden="false" customHeight="false" outlineLevel="0" collapsed="false">
      <c r="M85" s="4" t="n">
        <v>505</v>
      </c>
      <c r="N85" s="10" t="s">
        <v>1</v>
      </c>
    </row>
    <row r="86" customFormat="false" ht="15" hidden="false" customHeight="false" outlineLevel="0" collapsed="false">
      <c r="M86" s="14" t="s">
        <v>32</v>
      </c>
      <c r="N86" s="10" t="s">
        <v>7</v>
      </c>
    </row>
    <row r="87" customFormat="false" ht="15" hidden="false" customHeight="false" outlineLevel="0" collapsed="false">
      <c r="M87" s="14" t="n">
        <v>275</v>
      </c>
      <c r="N87" s="10" t="s">
        <v>8</v>
      </c>
    </row>
    <row r="88" customFormat="false" ht="15" hidden="false" customHeight="false" outlineLevel="0" collapsed="false">
      <c r="M88" s="4" t="n">
        <v>506</v>
      </c>
      <c r="N88" s="10" t="s">
        <v>1</v>
      </c>
    </row>
    <row r="89" customFormat="false" ht="15" hidden="false" customHeight="false" outlineLevel="0" collapsed="false">
      <c r="M89" s="14" t="s">
        <v>31</v>
      </c>
      <c r="N89" s="10" t="s">
        <v>7</v>
      </c>
    </row>
    <row r="90" customFormat="false" ht="15" hidden="false" customHeight="false" outlineLevel="0" collapsed="false">
      <c r="D90" s="2" t="str">
        <f aca="true" t="array" ref="D90:D90">IF(INDIRECT(ADDRESS((ROW(A90)-2)*3+2,13))=0,"",INDIRECT(ADDRESS((ROW(A90)-2)*3+2,13)))</f>
        <v/>
      </c>
      <c r="M90" s="14" t="n">
        <v>75</v>
      </c>
      <c r="N90" s="10" t="s">
        <v>8</v>
      </c>
    </row>
    <row r="91" customFormat="false" ht="15" hidden="false" customHeight="false" outlineLevel="0" collapsed="false">
      <c r="D91" s="2" t="str">
        <f aca="true" t="array" ref="D91:D91">IF(INDIRECT(ADDRESS((ROW(A91)-2)*3+2,13))=0,"",INDIRECT(ADDRESS((ROW(A91)-2)*3+2,13)))</f>
        <v/>
      </c>
      <c r="M91" s="4" t="n">
        <v>507</v>
      </c>
      <c r="N91" s="10" t="s">
        <v>1</v>
      </c>
    </row>
    <row r="92" customFormat="false" ht="15" hidden="false" customHeight="false" outlineLevel="0" collapsed="false">
      <c r="D92" s="2" t="str">
        <f aca="true" t="array" ref="D92:D92">IF(INDIRECT(ADDRESS((ROW(A92)-2)*3+2,13))=0,"",INDIRECT(ADDRESS((ROW(A92)-2)*3+2,13)))</f>
        <v/>
      </c>
      <c r="M92" s="14" t="n">
        <v>48</v>
      </c>
      <c r="N92" s="10" t="s">
        <v>7</v>
      </c>
    </row>
    <row r="93" customFormat="false" ht="15" hidden="false" customHeight="false" outlineLevel="0" collapsed="false">
      <c r="D93" s="2" t="str">
        <f aca="true" t="array" ref="D93:D93">IF(INDIRECT(ADDRESS((ROW(A93)-2)*3+2,13))=0,"",INDIRECT(ADDRESS((ROW(A93)-2)*3+2,13)))</f>
        <v/>
      </c>
      <c r="M93" s="14" t="n">
        <v>125</v>
      </c>
      <c r="N93" s="10" t="s">
        <v>8</v>
      </c>
    </row>
    <row r="94" customFormat="false" ht="15" hidden="false" customHeight="false" outlineLevel="0" collapsed="false">
      <c r="D94" s="2" t="str">
        <f aca="true" t="array" ref="D94:D94">IF(INDIRECT(ADDRESS((ROW(A94)-2)*3+2,13))=0,"",INDIRECT(ADDRESS((ROW(A94)-2)*3+2,13)))</f>
        <v/>
      </c>
      <c r="M94" s="4" t="n">
        <v>508</v>
      </c>
      <c r="N94" s="10" t="s">
        <v>1</v>
      </c>
    </row>
    <row r="95" customFormat="false" ht="15" hidden="false" customHeight="false" outlineLevel="0" collapsed="false">
      <c r="D95" s="2" t="str">
        <f aca="true" t="array" ref="D95:D95">IF(INDIRECT(ADDRESS((ROW(A95)-2)*3+2,13))=0,"",INDIRECT(ADDRESS((ROW(A95)-2)*3+2,13)))</f>
        <v/>
      </c>
      <c r="M95" s="14" t="n">
        <v>14</v>
      </c>
      <c r="N95" s="10" t="s">
        <v>7</v>
      </c>
    </row>
    <row r="96" customFormat="false" ht="15" hidden="false" customHeight="false" outlineLevel="0" collapsed="false">
      <c r="D96" s="2" t="str">
        <f aca="true" t="array" ref="D96:D96">IF(INDIRECT(ADDRESS((ROW(A96)-2)*3+2,13))=0,"",INDIRECT(ADDRESS((ROW(A96)-2)*3+2,13)))</f>
        <v/>
      </c>
      <c r="M96" s="14" t="n">
        <v>75</v>
      </c>
      <c r="N96" s="10" t="s">
        <v>8</v>
      </c>
    </row>
    <row r="97" customFormat="false" ht="15" hidden="false" customHeight="false" outlineLevel="0" collapsed="false">
      <c r="D97" s="2" t="str">
        <f aca="true" t="array" ref="D97:D97">IF(INDIRECT(ADDRESS((ROW(A97)-2)*3+2,13))=0,"",INDIRECT(ADDRESS((ROW(A97)-2)*3+2,13)))</f>
        <v/>
      </c>
      <c r="M97" s="4" t="n">
        <v>509</v>
      </c>
      <c r="N97" s="10" t="s">
        <v>1</v>
      </c>
    </row>
    <row r="98" customFormat="false" ht="15" hidden="false" customHeight="false" outlineLevel="0" collapsed="false">
      <c r="D98" s="2" t="str">
        <f aca="true" t="array" ref="D98:D98">IF(INDIRECT(ADDRESS((ROW(A98)-2)*3+2,13))=0,"",INDIRECT(ADDRESS((ROW(A98)-2)*3+2,13)))</f>
        <v/>
      </c>
      <c r="M98" s="14" t="n">
        <v>10</v>
      </c>
      <c r="N98" s="10" t="s">
        <v>7</v>
      </c>
    </row>
    <row r="99" customFormat="false" ht="15" hidden="false" customHeight="false" outlineLevel="0" collapsed="false">
      <c r="D99" s="2" t="str">
        <f aca="true" t="array" ref="D99:D99">IF(INDIRECT(ADDRESS((ROW(A99)-2)*3+2,13))=0,"",INDIRECT(ADDRESS((ROW(A99)-2)*3+2,13)))</f>
        <v/>
      </c>
      <c r="M99" s="14" t="n">
        <v>55</v>
      </c>
      <c r="N99" s="10" t="s">
        <v>8</v>
      </c>
    </row>
    <row r="100" customFormat="false" ht="15" hidden="false" customHeight="false" outlineLevel="0" collapsed="false">
      <c r="M100" s="4" t="n">
        <v>510</v>
      </c>
      <c r="N100" s="10" t="s">
        <v>1</v>
      </c>
    </row>
    <row r="101" customFormat="false" ht="15" hidden="false" customHeight="false" outlineLevel="0" collapsed="false">
      <c r="M101" s="14" t="s">
        <v>33</v>
      </c>
      <c r="N101" s="10" t="s">
        <v>7</v>
      </c>
    </row>
    <row r="102" customFormat="false" ht="15" hidden="false" customHeight="false" outlineLevel="0" collapsed="false">
      <c r="M102" s="14" t="n">
        <v>50</v>
      </c>
      <c r="N102" s="10" t="s">
        <v>8</v>
      </c>
    </row>
    <row r="103" customFormat="false" ht="15" hidden="false" customHeight="false" outlineLevel="0" collapsed="false">
      <c r="M103" s="4" t="n">
        <v>511</v>
      </c>
      <c r="N103" s="10" t="s">
        <v>1</v>
      </c>
    </row>
    <row r="104" customFormat="false" ht="15" hidden="false" customHeight="false" outlineLevel="0" collapsed="false">
      <c r="M104" s="14" t="n">
        <v>10</v>
      </c>
      <c r="N104" s="10" t="s">
        <v>7</v>
      </c>
    </row>
    <row r="105" customFormat="false" ht="15" hidden="false" customHeight="false" outlineLevel="0" collapsed="false">
      <c r="M105" s="14" t="n">
        <v>95</v>
      </c>
      <c r="N105" s="10" t="s">
        <v>8</v>
      </c>
    </row>
    <row r="106" customFormat="false" ht="15" hidden="false" customHeight="false" outlineLevel="0" collapsed="false">
      <c r="M106" s="4" t="n">
        <v>512</v>
      </c>
      <c r="N106" s="10" t="s">
        <v>1</v>
      </c>
    </row>
    <row r="107" customFormat="false" ht="15" hidden="false" customHeight="false" outlineLevel="0" collapsed="false">
      <c r="M107" s="14" t="s">
        <v>34</v>
      </c>
      <c r="N107" s="10" t="s">
        <v>7</v>
      </c>
    </row>
    <row r="108" customFormat="false" ht="15" hidden="false" customHeight="false" outlineLevel="0" collapsed="false">
      <c r="M108" s="14" t="s">
        <v>34</v>
      </c>
      <c r="N108" s="10" t="s">
        <v>8</v>
      </c>
    </row>
    <row r="109" customFormat="false" ht="15" hidden="false" customHeight="false" outlineLevel="0" collapsed="false">
      <c r="M109" s="14" t="n">
        <v>513</v>
      </c>
      <c r="N109" s="10" t="s">
        <v>1</v>
      </c>
    </row>
    <row r="110" customFormat="false" ht="15" hidden="false" customHeight="false" outlineLevel="0" collapsed="false">
      <c r="M110" s="14" t="s">
        <v>35</v>
      </c>
      <c r="N110" s="10" t="s">
        <v>7</v>
      </c>
    </row>
    <row r="111" customFormat="false" ht="15" hidden="false" customHeight="false" outlineLevel="0" collapsed="false">
      <c r="M111" s="14" t="n">
        <v>85</v>
      </c>
      <c r="N111" s="10" t="s">
        <v>8</v>
      </c>
    </row>
    <row r="112" customFormat="false" ht="15" hidden="false" customHeight="false" outlineLevel="0" collapsed="false">
      <c r="M112" s="14" t="n">
        <v>514</v>
      </c>
      <c r="N112" s="10" t="s">
        <v>1</v>
      </c>
    </row>
    <row r="113" customFormat="false" ht="15" hidden="false" customHeight="false" outlineLevel="0" collapsed="false">
      <c r="M113" s="14" t="n">
        <v>14</v>
      </c>
      <c r="N113" s="10" t="s">
        <v>7</v>
      </c>
    </row>
    <row r="114" customFormat="false" ht="15" hidden="false" customHeight="false" outlineLevel="0" collapsed="false">
      <c r="M114" s="14" t="n">
        <v>100</v>
      </c>
      <c r="N114" s="10" t="s">
        <v>8</v>
      </c>
    </row>
    <row r="115" customFormat="false" ht="15" hidden="false" customHeight="false" outlineLevel="0" collapsed="false">
      <c r="M115" s="14" t="n">
        <v>515</v>
      </c>
      <c r="N115" s="10" t="s">
        <v>1</v>
      </c>
    </row>
    <row r="116" customFormat="false" ht="15" hidden="false" customHeight="false" outlineLevel="0" collapsed="false">
      <c r="M116" s="14" t="s">
        <v>36</v>
      </c>
      <c r="N116" s="10" t="s">
        <v>7</v>
      </c>
    </row>
    <row r="117" customFormat="false" ht="15" hidden="false" customHeight="false" outlineLevel="0" collapsed="false">
      <c r="M117" s="14" t="n">
        <v>75</v>
      </c>
      <c r="N117" s="10" t="s">
        <v>8</v>
      </c>
    </row>
    <row r="118" customFormat="false" ht="15" hidden="false" customHeight="false" outlineLevel="0" collapsed="false">
      <c r="M118" s="14" t="n">
        <v>516</v>
      </c>
      <c r="N118" s="10" t="s">
        <v>1</v>
      </c>
    </row>
    <row r="119" customFormat="false" ht="15" hidden="false" customHeight="false" outlineLevel="0" collapsed="false">
      <c r="M119" s="14" t="s">
        <v>37</v>
      </c>
      <c r="N119" s="10" t="s">
        <v>7</v>
      </c>
    </row>
    <row r="120" customFormat="false" ht="15" hidden="false" customHeight="false" outlineLevel="0" collapsed="false">
      <c r="M120" s="14" t="n">
        <v>210</v>
      </c>
      <c r="N120" s="10" t="s">
        <v>8</v>
      </c>
    </row>
    <row r="121" customFormat="false" ht="15" hidden="false" customHeight="false" outlineLevel="0" collapsed="false">
      <c r="M121" s="14" t="n">
        <v>517</v>
      </c>
      <c r="N121" s="10" t="s">
        <v>1</v>
      </c>
    </row>
    <row r="122" customFormat="false" ht="15" hidden="false" customHeight="false" outlineLevel="0" collapsed="false">
      <c r="M122" s="14" t="s">
        <v>34</v>
      </c>
      <c r="N122" s="10" t="s">
        <v>7</v>
      </c>
    </row>
    <row r="123" customFormat="false" ht="15" hidden="false" customHeight="false" outlineLevel="0" collapsed="false">
      <c r="M123" s="14" t="s">
        <v>34</v>
      </c>
      <c r="N123" s="10" t="s">
        <v>8</v>
      </c>
    </row>
    <row r="124" customFormat="false" ht="15" hidden="false" customHeight="false" outlineLevel="0" collapsed="false">
      <c r="M124" s="14" t="n">
        <v>518</v>
      </c>
      <c r="N124" s="10" t="s">
        <v>1</v>
      </c>
    </row>
    <row r="125" customFormat="false" ht="15" hidden="false" customHeight="false" outlineLevel="0" collapsed="false">
      <c r="M125" s="14" t="s">
        <v>38</v>
      </c>
      <c r="N125" s="10" t="s">
        <v>7</v>
      </c>
    </row>
    <row r="126" customFormat="false" ht="15" hidden="false" customHeight="false" outlineLevel="0" collapsed="false">
      <c r="M126" s="14" t="n">
        <v>65</v>
      </c>
      <c r="N126" s="10" t="s">
        <v>8</v>
      </c>
    </row>
    <row r="127" customFormat="false" ht="15" hidden="false" customHeight="false" outlineLevel="0" collapsed="false">
      <c r="M127" s="14" t="n">
        <v>519</v>
      </c>
      <c r="N127" s="10" t="s">
        <v>1</v>
      </c>
    </row>
    <row r="128" customFormat="false" ht="15" hidden="false" customHeight="false" outlineLevel="0" collapsed="false">
      <c r="M128" s="14" t="s">
        <v>39</v>
      </c>
      <c r="N128" s="10" t="s">
        <v>7</v>
      </c>
    </row>
    <row r="129" customFormat="false" ht="15" hidden="false" customHeight="false" outlineLevel="0" collapsed="false">
      <c r="M129" s="14" t="n">
        <v>85</v>
      </c>
      <c r="N129" s="10" t="s">
        <v>8</v>
      </c>
    </row>
    <row r="130" customFormat="false" ht="15" hidden="false" customHeight="false" outlineLevel="0" collapsed="false">
      <c r="D130" s="2" t="str">
        <f aca="true" t="array" ref="D130:D130">IF(INDIRECT(ADDRESS((ROW(A130)-2)*3+2,13))=0,"",INDIRECT(ADDRESS((ROW(A130)-2)*3+2,13)))</f>
        <v/>
      </c>
      <c r="M130" s="4" t="n">
        <v>601</v>
      </c>
      <c r="N130" s="10" t="s">
        <v>1</v>
      </c>
    </row>
    <row r="131" customFormat="false" ht="15" hidden="false" customHeight="false" outlineLevel="0" collapsed="false">
      <c r="D131" s="2" t="str">
        <f aca="true" t="array" ref="D131:D131">IF(INDIRECT(ADDRESS((ROW(A131)-2)*3+2,13))=0,"",INDIRECT(ADDRESS((ROW(A131)-2)*3+2,13)))</f>
        <v/>
      </c>
      <c r="M131" s="14" t="n">
        <v>4</v>
      </c>
      <c r="N131" s="10" t="s">
        <v>7</v>
      </c>
    </row>
    <row r="132" customFormat="false" ht="15" hidden="false" customHeight="false" outlineLevel="0" collapsed="false">
      <c r="D132" s="2" t="str">
        <f aca="true" t="array" ref="D132:D132">IF(INDIRECT(ADDRESS((ROW(A132)-2)*3+2,13))=0,"",INDIRECT(ADDRESS((ROW(A132)-2)*3+2,13)))</f>
        <v/>
      </c>
      <c r="M132" s="14" t="n">
        <v>350</v>
      </c>
      <c r="N132" s="10" t="s">
        <v>8</v>
      </c>
    </row>
    <row r="133" customFormat="false" ht="15" hidden="false" customHeight="false" outlineLevel="0" collapsed="false">
      <c r="D133" s="2" t="str">
        <f aca="true" t="array" ref="D133:D133">IF(INDIRECT(ADDRESS((ROW(A133)-2)*3+2,13))=0,"",INDIRECT(ADDRESS((ROW(A133)-2)*3+2,13)))</f>
        <v/>
      </c>
      <c r="M133" s="4" t="n">
        <v>602</v>
      </c>
      <c r="N133" s="10" t="s">
        <v>1</v>
      </c>
    </row>
    <row r="134" customFormat="false" ht="15" hidden="false" customHeight="false" outlineLevel="0" collapsed="false">
      <c r="D134" s="2" t="str">
        <f aca="true" t="array" ref="D134:D134">IF(INDIRECT(ADDRESS((ROW(A134)-2)*3+2,13))=0,"",INDIRECT(ADDRESS((ROW(A134)-2)*3+2,13)))</f>
        <v/>
      </c>
      <c r="M134" s="14" t="n">
        <v>41</v>
      </c>
      <c r="N134" s="10" t="s">
        <v>7</v>
      </c>
    </row>
    <row r="135" customFormat="false" ht="15" hidden="false" customHeight="false" outlineLevel="0" collapsed="false">
      <c r="D135" s="2" t="str">
        <f aca="true" t="array" ref="D135:D135">IF(INDIRECT(ADDRESS((ROW(A135)-2)*3+2,13))=0,"",INDIRECT(ADDRESS((ROW(A135)-2)*3+2,13)))</f>
        <v/>
      </c>
      <c r="M135" s="14" t="n">
        <v>200</v>
      </c>
      <c r="N135" s="10" t="s">
        <v>8</v>
      </c>
    </row>
    <row r="136" customFormat="false" ht="15" hidden="false" customHeight="false" outlineLevel="0" collapsed="false">
      <c r="D136" s="2" t="str">
        <f aca="true" t="array" ref="D136:D136">IF(INDIRECT(ADDRESS((ROW(A136)-2)*3+2,13))=0,"",INDIRECT(ADDRESS((ROW(A136)-2)*3+2,13)))</f>
        <v/>
      </c>
      <c r="M136" s="14" t="n">
        <v>603</v>
      </c>
      <c r="N136" s="10" t="s">
        <v>1</v>
      </c>
    </row>
    <row r="137" customFormat="false" ht="15" hidden="false" customHeight="false" outlineLevel="0" collapsed="false">
      <c r="D137" s="2" t="str">
        <f aca="true" t="array" ref="D137:D137">IF(INDIRECT(ADDRESS((ROW(A137)-2)*3+2,13))=0,"",INDIRECT(ADDRESS((ROW(A137)-2)*3+2,13)))</f>
        <v/>
      </c>
      <c r="M137" s="14" t="s">
        <v>40</v>
      </c>
      <c r="N137" s="10" t="s">
        <v>7</v>
      </c>
    </row>
    <row r="138" customFormat="false" ht="15" hidden="false" customHeight="false" outlineLevel="0" collapsed="false">
      <c r="D138" s="2" t="str">
        <f aca="true" t="array" ref="D138:D138">IF(INDIRECT(ADDRESS((ROW(A138)-2)*3+2,13))=0,"",INDIRECT(ADDRESS((ROW(A138)-2)*3+2,13)))</f>
        <v/>
      </c>
      <c r="M138" s="14" t="n">
        <v>175</v>
      </c>
      <c r="N138" s="10" t="s">
        <v>8</v>
      </c>
    </row>
    <row r="139" customFormat="false" ht="15" hidden="false" customHeight="false" outlineLevel="0" collapsed="false">
      <c r="M139" s="4" t="n">
        <v>701</v>
      </c>
      <c r="N139" s="10" t="s">
        <v>1</v>
      </c>
    </row>
    <row r="140" customFormat="false" ht="15" hidden="false" customHeight="false" outlineLevel="0" collapsed="false">
      <c r="M140" s="14" t="n">
        <v>74</v>
      </c>
      <c r="N140" s="10" t="s">
        <v>7</v>
      </c>
    </row>
    <row r="141" customFormat="false" ht="15" hidden="false" customHeight="false" outlineLevel="0" collapsed="false">
      <c r="M141" s="14" t="n">
        <v>170</v>
      </c>
      <c r="N141" s="10" t="s">
        <v>8</v>
      </c>
    </row>
    <row r="142" customFormat="false" ht="15" hidden="false" customHeight="false" outlineLevel="0" collapsed="false">
      <c r="M142" s="4" t="n">
        <v>702</v>
      </c>
      <c r="N142" s="10" t="s">
        <v>1</v>
      </c>
    </row>
    <row r="143" customFormat="false" ht="15" hidden="false" customHeight="false" outlineLevel="0" collapsed="false">
      <c r="M143" s="14" t="s">
        <v>41</v>
      </c>
      <c r="N143" s="10" t="s">
        <v>7</v>
      </c>
    </row>
    <row r="144" customFormat="false" ht="15" hidden="false" customHeight="false" outlineLevel="0" collapsed="false">
      <c r="M144" s="14" t="n">
        <v>35</v>
      </c>
      <c r="N144" s="10" t="s">
        <v>8</v>
      </c>
    </row>
    <row r="145" customFormat="false" ht="15" hidden="false" customHeight="false" outlineLevel="0" collapsed="false">
      <c r="D145" s="2" t="str">
        <f aca="true" t="array" ref="D145:D145">IF(INDIRECT(ADDRESS((ROW(A145)-2)*3+2,13))=0,"",INDIRECT(ADDRESS((ROW(A145)-2)*3+2,13)))</f>
        <v/>
      </c>
      <c r="M145" s="4" t="n">
        <v>703</v>
      </c>
      <c r="N145" s="10" t="s">
        <v>1</v>
      </c>
    </row>
    <row r="146" customFormat="false" ht="15" hidden="false" customHeight="false" outlineLevel="0" collapsed="false">
      <c r="D146" s="2" t="str">
        <f aca="true" t="array" ref="D146:D146">IF(INDIRECT(ADDRESS((ROW(A146)-2)*3+2,13))=0,"",INDIRECT(ADDRESS((ROW(A146)-2)*3+2,13)))</f>
        <v/>
      </c>
      <c r="M146" s="14" t="n">
        <v>62</v>
      </c>
      <c r="N146" s="10" t="s">
        <v>7</v>
      </c>
    </row>
    <row r="147" customFormat="false" ht="15" hidden="false" customHeight="false" outlineLevel="0" collapsed="false">
      <c r="D147" s="2" t="str">
        <f aca="true" t="array" ref="D147:D147">IF(INDIRECT(ADDRESS((ROW(A147)-2)*3+2,13))=0,"",INDIRECT(ADDRESS((ROW(A147)-2)*3+2,13)))</f>
        <v/>
      </c>
      <c r="M147" s="14" t="n">
        <v>200</v>
      </c>
      <c r="N147" s="10" t="s">
        <v>8</v>
      </c>
    </row>
    <row r="148" customFormat="false" ht="15" hidden="false" customHeight="false" outlineLevel="0" collapsed="false">
      <c r="D148" s="2" t="str">
        <f aca="true" t="array" ref="D148:D148">IF(INDIRECT(ADDRESS((ROW(A148)-2)*3+2,13))=0,"",INDIRECT(ADDRESS((ROW(A148)-2)*3+2,13)))</f>
        <v/>
      </c>
      <c r="M148" s="14" t="n">
        <v>704</v>
      </c>
      <c r="N148" s="10" t="s">
        <v>1</v>
      </c>
    </row>
    <row r="149" customFormat="false" ht="15" hidden="false" customHeight="false" outlineLevel="0" collapsed="false">
      <c r="D149" s="2" t="str">
        <f aca="true" t="array" ref="D149:D149">IF(INDIRECT(ADDRESS((ROW(A149)-2)*3+2,13))=0,"",INDIRECT(ADDRESS((ROW(A149)-2)*3+2,13)))</f>
        <v/>
      </c>
      <c r="M149" s="14" t="n">
        <v>62</v>
      </c>
      <c r="N149" s="10" t="s">
        <v>7</v>
      </c>
    </row>
    <row r="150" customFormat="false" ht="15" hidden="false" customHeight="false" outlineLevel="0" collapsed="false">
      <c r="D150" s="2" t="str">
        <f aca="true" t="array" ref="D150:D150">IF(INDIRECT(ADDRESS((ROW(A150)-2)*3+2,13))=0,"",INDIRECT(ADDRESS((ROW(A150)-2)*3+2,13)))</f>
        <v/>
      </c>
      <c r="M150" s="14" t="n">
        <v>200</v>
      </c>
      <c r="N150" s="10" t="s">
        <v>8</v>
      </c>
    </row>
    <row r="151" customFormat="false" ht="15" hidden="false" customHeight="false" outlineLevel="0" collapsed="false">
      <c r="D151" s="2" t="str">
        <f aca="true" t="array" ref="D151:D151">IF(INDIRECT(ADDRESS((ROW(A151)-2)*3+2,13))=0,"",INDIRECT(ADDRESS((ROW(A151)-2)*3+2,13)))</f>
        <v/>
      </c>
      <c r="M151" s="14" t="n">
        <v>705</v>
      </c>
      <c r="N151" s="10" t="s">
        <v>1</v>
      </c>
    </row>
    <row r="152" customFormat="false" ht="15" hidden="false" customHeight="false" outlineLevel="0" collapsed="false">
      <c r="D152" s="2" t="str">
        <f aca="true" t="array" ref="D152:D152">IF(INDIRECT(ADDRESS((ROW(A152)-2)*3+2,13))=0,"",INDIRECT(ADDRESS((ROW(A152)-2)*3+2,13)))</f>
        <v/>
      </c>
      <c r="M152" s="14" t="n">
        <v>28</v>
      </c>
      <c r="N152" s="10" t="s">
        <v>7</v>
      </c>
    </row>
    <row r="153" customFormat="false" ht="15" hidden="false" customHeight="false" outlineLevel="0" collapsed="false">
      <c r="D153" s="2" t="str">
        <f aca="true" t="array" ref="D153:D153">IF(INDIRECT(ADDRESS((ROW(A153)-2)*3+2,13))=0,"",INDIRECT(ADDRESS((ROW(A153)-2)*3+2,13)))</f>
        <v/>
      </c>
      <c r="M153" s="14" t="n">
        <v>170</v>
      </c>
      <c r="N153" s="10" t="s">
        <v>8</v>
      </c>
    </row>
    <row r="154" customFormat="false" ht="15" hidden="false" customHeight="false" outlineLevel="0" collapsed="false">
      <c r="D154" s="2" t="str">
        <f aca="true" t="array" ref="D154:D154">IF(INDIRECT(ADDRESS((ROW(A154)-2)*3+2,13))=0,"",INDIRECT(ADDRESS((ROW(A154)-2)*3+2,13)))</f>
        <v/>
      </c>
      <c r="M154" s="4" t="n">
        <v>801</v>
      </c>
      <c r="N154" s="10" t="s">
        <v>1</v>
      </c>
    </row>
    <row r="155" customFormat="false" ht="15" hidden="false" customHeight="false" outlineLevel="0" collapsed="false">
      <c r="D155" s="2" t="str">
        <f aca="true" t="array" ref="D155:D155">IF(INDIRECT(ADDRESS((ROW(A155)-2)*3+2,13))=0,"",INDIRECT(ADDRESS((ROW(A155)-2)*3+2,13)))</f>
        <v/>
      </c>
      <c r="M155" s="14" t="n">
        <v>62</v>
      </c>
      <c r="N155" s="10" t="s">
        <v>7</v>
      </c>
    </row>
    <row r="156" customFormat="false" ht="15" hidden="false" customHeight="false" outlineLevel="0" collapsed="false">
      <c r="D156" s="2" t="str">
        <f aca="true" t="array" ref="D156:D156">IF(INDIRECT(ADDRESS((ROW(A156)-2)*3+2,13))=0,"",INDIRECT(ADDRESS((ROW(A156)-2)*3+2,13)))</f>
        <v/>
      </c>
      <c r="M156" s="14" t="n">
        <v>350</v>
      </c>
      <c r="N156" s="10" t="s">
        <v>8</v>
      </c>
    </row>
    <row r="157" customFormat="false" ht="15" hidden="false" customHeight="false" outlineLevel="0" collapsed="false">
      <c r="D157" s="2" t="str">
        <f aca="true" t="array" ref="D157:D157">IF(INDIRECT(ADDRESS((ROW(A157)-2)*3+2,13))=0,"",INDIRECT(ADDRESS((ROW(A157)-2)*3+2,13)))</f>
        <v/>
      </c>
      <c r="M157" s="4" t="n">
        <v>802</v>
      </c>
      <c r="N157" s="10" t="s">
        <v>1</v>
      </c>
    </row>
    <row r="158" customFormat="false" ht="15" hidden="false" customHeight="false" outlineLevel="0" collapsed="false">
      <c r="D158" s="2" t="str">
        <f aca="true" t="array" ref="D158:D158">IF(INDIRECT(ADDRESS((ROW(A158)-2)*3+2,13))=0,"",INDIRECT(ADDRESS((ROW(A158)-2)*3+2,13)))</f>
        <v/>
      </c>
      <c r="M158" s="14" t="s">
        <v>42</v>
      </c>
      <c r="N158" s="10" t="s">
        <v>7</v>
      </c>
    </row>
    <row r="159" customFormat="false" ht="15" hidden="false" customHeight="false" outlineLevel="0" collapsed="false">
      <c r="D159" s="2" t="str">
        <f aca="true" t="array" ref="D159:D159">IF(INDIRECT(ADDRESS((ROW(A159)-2)*3+2,13))=0,"",INDIRECT(ADDRESS((ROW(A159)-2)*3+2,13)))</f>
        <v/>
      </c>
      <c r="M159" s="14" t="n">
        <v>170</v>
      </c>
      <c r="N159" s="10" t="s">
        <v>8</v>
      </c>
    </row>
    <row r="160" customFormat="false" ht="15" hidden="false" customHeight="false" outlineLevel="0" collapsed="false">
      <c r="D160" s="2" t="str">
        <f aca="true" t="array" ref="D160:D160">IF(INDIRECT(ADDRESS((ROW(A160)-2)*3+2,13))=0,"",INDIRECT(ADDRESS((ROW(A160)-2)*3+2,13)))</f>
        <v/>
      </c>
      <c r="M160" s="4" t="n">
        <v>803</v>
      </c>
      <c r="N160" s="10" t="s">
        <v>1</v>
      </c>
    </row>
    <row r="161" customFormat="false" ht="15" hidden="false" customHeight="false" outlineLevel="0" collapsed="false">
      <c r="D161" s="2" t="str">
        <f aca="true" t="array" ref="D161:D161">IF(INDIRECT(ADDRESS((ROW(A161)-2)*3+2,13))=0,"",INDIRECT(ADDRESS((ROW(A161)-2)*3+2,13)))</f>
        <v/>
      </c>
      <c r="M161" s="14" t="s">
        <v>34</v>
      </c>
      <c r="N161" s="10" t="s">
        <v>7</v>
      </c>
    </row>
    <row r="162" customFormat="false" ht="15" hidden="false" customHeight="false" outlineLevel="0" collapsed="false">
      <c r="D162" s="2" t="str">
        <f aca="true" t="array" ref="D162:D162">IF(INDIRECT(ADDRESS((ROW(A162)-2)*3+2,13))=0,"",INDIRECT(ADDRESS((ROW(A162)-2)*3+2,13)))</f>
        <v/>
      </c>
      <c r="M162" s="14" t="s">
        <v>34</v>
      </c>
      <c r="N162" s="10" t="s">
        <v>8</v>
      </c>
    </row>
    <row r="163" customFormat="false" ht="15" hidden="false" customHeight="false" outlineLevel="0" collapsed="false">
      <c r="D163" s="2" t="str">
        <f aca="true" t="array" ref="D163:D163">IF(INDIRECT(ADDRESS((ROW(A163)-2)*3+2,13))=0,"",INDIRECT(ADDRESS((ROW(A163)-2)*3+2,13)))</f>
        <v/>
      </c>
      <c r="M163" s="4" t="n">
        <v>804</v>
      </c>
      <c r="N163" s="10" t="s">
        <v>1</v>
      </c>
    </row>
    <row r="164" customFormat="false" ht="15" hidden="false" customHeight="false" outlineLevel="0" collapsed="false">
      <c r="D164" s="2" t="str">
        <f aca="true" t="array" ref="D164:D164">IF(INDIRECT(ADDRESS((ROW(A164)-2)*3+2,13))=0,"",INDIRECT(ADDRESS((ROW(A164)-2)*3+2,13)))</f>
        <v/>
      </c>
      <c r="M164" s="14" t="s">
        <v>34</v>
      </c>
      <c r="N164" s="10" t="s">
        <v>7</v>
      </c>
    </row>
    <row r="165" customFormat="false" ht="15" hidden="false" customHeight="false" outlineLevel="0" collapsed="false">
      <c r="D165" s="2" t="str">
        <f aca="true" t="array" ref="D165:D165">IF(INDIRECT(ADDRESS((ROW(A165)-2)*3+2,13))=0,"",INDIRECT(ADDRESS((ROW(A165)-2)*3+2,13)))</f>
        <v/>
      </c>
      <c r="M165" s="14" t="s">
        <v>34</v>
      </c>
      <c r="N165" s="10" t="s">
        <v>8</v>
      </c>
    </row>
    <row r="166" customFormat="false" ht="15" hidden="false" customHeight="false" outlineLevel="0" collapsed="false">
      <c r="D166" s="2" t="str">
        <f aca="true" t="array" ref="D166:D166">IF(INDIRECT(ADDRESS((ROW(A166)-2)*3+2,13))=0,"",INDIRECT(ADDRESS((ROW(A166)-2)*3+2,13)))</f>
        <v/>
      </c>
      <c r="M166" s="4" t="n">
        <v>805</v>
      </c>
      <c r="N166" s="10" t="s">
        <v>1</v>
      </c>
    </row>
    <row r="167" customFormat="false" ht="15" hidden="false" customHeight="false" outlineLevel="0" collapsed="false">
      <c r="D167" s="2" t="str">
        <f aca="true" t="array" ref="D167:D167">IF(INDIRECT(ADDRESS((ROW(A167)-2)*3+2,13))=0,"",INDIRECT(ADDRESS((ROW(A167)-2)*3+2,13)))</f>
        <v/>
      </c>
      <c r="M167" s="14" t="n">
        <v>36</v>
      </c>
      <c r="N167" s="10" t="s">
        <v>7</v>
      </c>
    </row>
    <row r="168" customFormat="false" ht="15" hidden="false" customHeight="false" outlineLevel="0" collapsed="false">
      <c r="D168" s="2" t="str">
        <f aca="true" t="array" ref="D168:D168">IF(INDIRECT(ADDRESS((ROW(A168)-2)*3+2,13))=0,"",INDIRECT(ADDRESS((ROW(A168)-2)*3+2,13)))</f>
        <v/>
      </c>
      <c r="M168" s="14" t="n">
        <v>75</v>
      </c>
      <c r="N168" s="10" t="s">
        <v>8</v>
      </c>
    </row>
    <row r="169" customFormat="false" ht="15" hidden="false" customHeight="false" outlineLevel="0" collapsed="false">
      <c r="D169" s="2" t="str">
        <f aca="true" t="array" ref="D169:D169">IF(INDIRECT(ADDRESS((ROW(A169)-2)*3+2,13))=0,"",INDIRECT(ADDRESS((ROW(A169)-2)*3+2,13)))</f>
        <v/>
      </c>
      <c r="M169" s="4" t="n">
        <v>806</v>
      </c>
      <c r="N169" s="10" t="s">
        <v>1</v>
      </c>
    </row>
    <row r="170" customFormat="false" ht="15" hidden="false" customHeight="false" outlineLevel="0" collapsed="false">
      <c r="D170" s="2" t="str">
        <f aca="true" t="array" ref="D170:D170">IF(INDIRECT(ADDRESS((ROW(A170)-2)*3+2,13))=0,"",INDIRECT(ADDRESS((ROW(A170)-2)*3+2,13)))</f>
        <v/>
      </c>
      <c r="M170" s="14" t="n">
        <v>36</v>
      </c>
      <c r="N170" s="10" t="s">
        <v>7</v>
      </c>
    </row>
    <row r="171" customFormat="false" ht="15" hidden="false" customHeight="false" outlineLevel="0" collapsed="false">
      <c r="D171" s="2" t="str">
        <f aca="true" t="array" ref="D171:D171">IF(INDIRECT(ADDRESS((ROW(A171)-2)*3+2,13))=0,"",INDIRECT(ADDRESS((ROW(A171)-2)*3+2,13)))</f>
        <v/>
      </c>
      <c r="M171" s="14" t="n">
        <v>120</v>
      </c>
      <c r="N171" s="10" t="s">
        <v>8</v>
      </c>
    </row>
    <row r="172" customFormat="false" ht="15" hidden="false" customHeight="false" outlineLevel="0" collapsed="false">
      <c r="D172" s="2" t="str">
        <f aca="true" t="array" ref="D172:D172">IF(INDIRECT(ADDRESS((ROW(A172)-2)*3+2,13))=0,"",INDIRECT(ADDRESS((ROW(A172)-2)*3+2,13)))</f>
        <v/>
      </c>
      <c r="M172" s="4" t="n">
        <v>807</v>
      </c>
      <c r="N172" s="10" t="s">
        <v>1</v>
      </c>
    </row>
    <row r="173" customFormat="false" ht="15" hidden="false" customHeight="false" outlineLevel="0" collapsed="false">
      <c r="D173" s="2" t="str">
        <f aca="true" t="array" ref="D173:D173">IF(INDIRECT(ADDRESS((ROW(A173)-2)*3+2,13))=0,"",INDIRECT(ADDRESS((ROW(A173)-2)*3+2,13)))</f>
        <v/>
      </c>
      <c r="M173" s="14" t="s">
        <v>34</v>
      </c>
      <c r="N173" s="10" t="s">
        <v>7</v>
      </c>
    </row>
    <row r="174" customFormat="false" ht="15" hidden="false" customHeight="false" outlineLevel="0" collapsed="false">
      <c r="D174" s="2" t="str">
        <f aca="true" t="array" ref="D174:D174">IF(INDIRECT(ADDRESS((ROW(A174)-2)*3+2,13))=0,"",INDIRECT(ADDRESS((ROW(A174)-2)*3+2,13)))</f>
        <v/>
      </c>
      <c r="M174" s="14" t="s">
        <v>34</v>
      </c>
      <c r="N174" s="10" t="s">
        <v>8</v>
      </c>
    </row>
    <row r="175" customFormat="false" ht="15" hidden="false" customHeight="false" outlineLevel="0" collapsed="false">
      <c r="D175" s="2" t="str">
        <f aca="true" t="array" ref="D175:D175">IF(INDIRECT(ADDRESS((ROW(A175)-2)*3+2,13))=0,"",INDIRECT(ADDRESS((ROW(A175)-2)*3+2,13)))</f>
        <v/>
      </c>
      <c r="M175" s="4" t="n">
        <v>808</v>
      </c>
      <c r="N175" s="10" t="s">
        <v>1</v>
      </c>
    </row>
    <row r="176" customFormat="false" ht="15" hidden="false" customHeight="false" outlineLevel="0" collapsed="false">
      <c r="D176" s="2" t="str">
        <f aca="true" t="array" ref="D176:D176">IF(INDIRECT(ADDRESS((ROW(A176)-2)*3+2,13))=0,"",INDIRECT(ADDRESS((ROW(A176)-2)*3+2,13)))</f>
        <v/>
      </c>
      <c r="M176" s="14" t="n">
        <v>46</v>
      </c>
      <c r="N176" s="10" t="s">
        <v>7</v>
      </c>
    </row>
    <row r="177" customFormat="false" ht="15" hidden="false" customHeight="false" outlineLevel="0" collapsed="false">
      <c r="D177" s="2" t="str">
        <f aca="true" t="array" ref="D177:D177">IF(INDIRECT(ADDRESS((ROW(A177)-2)*3+2,13))=0,"",INDIRECT(ADDRESS((ROW(A177)-2)*3+2,13)))</f>
        <v/>
      </c>
      <c r="M177" s="14" t="n">
        <v>85</v>
      </c>
      <c r="N177" s="10" t="s">
        <v>8</v>
      </c>
    </row>
    <row r="178" customFormat="false" ht="15" hidden="false" customHeight="false" outlineLevel="0" collapsed="false">
      <c r="D178" s="2" t="str">
        <f aca="true" t="array" ref="D178:D178">IF(INDIRECT(ADDRESS((ROW(A178)-2)*3+2,13))=0,"",INDIRECT(ADDRESS((ROW(A178)-2)*3+2,13)))</f>
        <v/>
      </c>
      <c r="M178" s="4" t="n">
        <v>809</v>
      </c>
      <c r="N178" s="10" t="s">
        <v>1</v>
      </c>
    </row>
    <row r="179" customFormat="false" ht="15" hidden="false" customHeight="false" outlineLevel="0" collapsed="false">
      <c r="D179" s="2" t="str">
        <f aca="true" t="array" ref="D179:D179">IF(INDIRECT(ADDRESS((ROW(A179)-2)*3+2,13))=0,"",INDIRECT(ADDRESS((ROW(A179)-2)*3+2,13)))</f>
        <v/>
      </c>
      <c r="M179" s="14" t="s">
        <v>43</v>
      </c>
      <c r="N179" s="10" t="s">
        <v>7</v>
      </c>
    </row>
    <row r="180" customFormat="false" ht="15" hidden="false" customHeight="false" outlineLevel="0" collapsed="false">
      <c r="D180" s="2" t="str">
        <f aca="true" t="array" ref="D180:D180">IF(INDIRECT(ADDRESS((ROW(A180)-2)*3+2,13))=0,"",INDIRECT(ADDRESS((ROW(A180)-2)*3+2,13)))</f>
        <v/>
      </c>
      <c r="M180" s="14" t="n">
        <v>135</v>
      </c>
      <c r="N180" s="10" t="s">
        <v>8</v>
      </c>
    </row>
    <row r="181" customFormat="false" ht="15" hidden="false" customHeight="false" outlineLevel="0" collapsed="false">
      <c r="D181" s="2" t="str">
        <f aca="true" t="array" ref="D181:D181">IF(INDIRECT(ADDRESS((ROW(A181)-2)*3+2,13))=0,"",INDIRECT(ADDRESS((ROW(A181)-2)*3+2,13)))</f>
        <v/>
      </c>
      <c r="M181" s="14" t="n">
        <v>810</v>
      </c>
      <c r="N181" s="10" t="s">
        <v>1</v>
      </c>
    </row>
    <row r="182" customFormat="false" ht="15" hidden="false" customHeight="false" outlineLevel="0" collapsed="false">
      <c r="D182" s="2" t="str">
        <f aca="true" t="array" ref="D182:D182">IF(INDIRECT(ADDRESS((ROW(A182)-2)*3+2,13))=0,"",INDIRECT(ADDRESS((ROW(A182)-2)*3+2,13)))</f>
        <v/>
      </c>
      <c r="M182" s="14" t="n">
        <v>49</v>
      </c>
      <c r="N182" s="10" t="s">
        <v>7</v>
      </c>
    </row>
    <row r="183" customFormat="false" ht="15" hidden="false" customHeight="false" outlineLevel="0" collapsed="false">
      <c r="D183" s="2" t="str">
        <f aca="true" t="array" ref="D183:D183">IF(INDIRECT(ADDRESS((ROW(A183)-2)*3+2,13))=0,"",INDIRECT(ADDRESS((ROW(A183)-2)*3+2,13)))</f>
        <v/>
      </c>
      <c r="M183" s="14" t="n">
        <v>85</v>
      </c>
      <c r="N183" s="10" t="s">
        <v>8</v>
      </c>
    </row>
    <row r="184" customFormat="false" ht="15" hidden="false" customHeight="false" outlineLevel="0" collapsed="false">
      <c r="D184" s="2" t="str">
        <f aca="true" t="array" ref="D184:D184">IF(INDIRECT(ADDRESS((ROW(A184)-2)*3+2,13))=0,"",INDIRECT(ADDRESS((ROW(A184)-2)*3+2,13)))</f>
        <v/>
      </c>
      <c r="M184" s="14" t="n">
        <v>811</v>
      </c>
      <c r="N184" s="10" t="s">
        <v>1</v>
      </c>
    </row>
    <row r="185" customFormat="false" ht="15" hidden="false" customHeight="false" outlineLevel="0" collapsed="false">
      <c r="D185" s="2" t="str">
        <f aca="true" t="array" ref="D185:D185">IF(INDIRECT(ADDRESS((ROW(A185)-2)*3+2,13))=0,"",INDIRECT(ADDRESS((ROW(A185)-2)*3+2,13)))</f>
        <v/>
      </c>
      <c r="M185" s="14" t="s">
        <v>42</v>
      </c>
      <c r="N185" s="10" t="s">
        <v>7</v>
      </c>
    </row>
    <row r="186" customFormat="false" ht="15" hidden="false" customHeight="false" outlineLevel="0" collapsed="false">
      <c r="D186" s="2" t="str">
        <f aca="true" t="array" ref="D186:D186">IF(INDIRECT(ADDRESS((ROW(A186)-2)*3+2,13))=0,"",INDIRECT(ADDRESS((ROW(A186)-2)*3+2,13)))</f>
        <v/>
      </c>
      <c r="M186" s="14" t="n">
        <v>85</v>
      </c>
      <c r="N186" s="10" t="s">
        <v>8</v>
      </c>
    </row>
    <row r="187" customFormat="false" ht="15" hidden="false" customHeight="false" outlineLevel="0" collapsed="false">
      <c r="D187" s="2" t="str">
        <f aca="true" t="array" ref="D187:D187">IF(INDIRECT(ADDRESS((ROW(A187)-2)*3+2,13))=0,"",INDIRECT(ADDRESS((ROW(A187)-2)*3+2,13)))</f>
        <v/>
      </c>
      <c r="M187" s="4" t="n">
        <v>812</v>
      </c>
      <c r="N187" s="10" t="s">
        <v>1</v>
      </c>
    </row>
    <row r="188" customFormat="false" ht="15" hidden="false" customHeight="false" outlineLevel="0" collapsed="false">
      <c r="D188" s="2" t="str">
        <f aca="true" t="array" ref="D188:D188">IF(INDIRECT(ADDRESS((ROW(A188)-2)*3+2,13))=0,"",INDIRECT(ADDRESS((ROW(A188)-2)*3+2,13)))</f>
        <v/>
      </c>
      <c r="M188" s="14" t="n">
        <v>17</v>
      </c>
      <c r="N188" s="10" t="s">
        <v>7</v>
      </c>
    </row>
    <row r="189" customFormat="false" ht="15" hidden="false" customHeight="false" outlineLevel="0" collapsed="false">
      <c r="D189" s="2" t="str">
        <f aca="true" t="array" ref="D189:D189">IF(INDIRECT(ADDRESS((ROW(A189)-2)*3+2,13))=0,"",INDIRECT(ADDRESS((ROW(A189)-2)*3+2,13)))</f>
        <v/>
      </c>
      <c r="M189" s="14" t="n">
        <v>75</v>
      </c>
      <c r="N189" s="10" t="s">
        <v>8</v>
      </c>
    </row>
    <row r="190" customFormat="false" ht="15" hidden="false" customHeight="false" outlineLevel="0" collapsed="false">
      <c r="D190" s="2" t="str">
        <f aca="true" t="array" ref="D190:D190">IF(INDIRECT(ADDRESS((ROW(A190)-2)*3+2,13))=0,"",INDIRECT(ADDRESS((ROW(A190)-2)*3+2,13)))</f>
        <v/>
      </c>
      <c r="M190" s="4" t="n">
        <v>813</v>
      </c>
      <c r="N190" s="10" t="s">
        <v>1</v>
      </c>
    </row>
    <row r="191" customFormat="false" ht="15" hidden="false" customHeight="false" outlineLevel="0" collapsed="false">
      <c r="D191" s="2" t="str">
        <f aca="true" t="array" ref="D191:D191">IF(INDIRECT(ADDRESS((ROW(A191)-2)*3+2,13))=0,"",INDIRECT(ADDRESS((ROW(A191)-2)*3+2,13)))</f>
        <v/>
      </c>
      <c r="M191" s="14" t="n">
        <v>28</v>
      </c>
      <c r="N191" s="10" t="s">
        <v>7</v>
      </c>
    </row>
    <row r="192" customFormat="false" ht="15" hidden="false" customHeight="false" outlineLevel="0" collapsed="false">
      <c r="M192" s="14" t="n">
        <v>50</v>
      </c>
      <c r="N192" s="10" t="s">
        <v>8</v>
      </c>
    </row>
    <row r="193" customFormat="false" ht="15" hidden="false" customHeight="false" outlineLevel="0" collapsed="false">
      <c r="M193" s="4" t="n">
        <v>814</v>
      </c>
      <c r="N193" s="10" t="s">
        <v>1</v>
      </c>
    </row>
    <row r="194" customFormat="false" ht="15" hidden="false" customHeight="false" outlineLevel="0" collapsed="false">
      <c r="M194" s="14" t="n">
        <v>36</v>
      </c>
      <c r="N194" s="10" t="s">
        <v>7</v>
      </c>
    </row>
    <row r="195" customFormat="false" ht="15" hidden="false" customHeight="false" outlineLevel="0" collapsed="false">
      <c r="M195" s="14" t="n">
        <v>30</v>
      </c>
      <c r="N195" s="10" t="s">
        <v>8</v>
      </c>
    </row>
    <row r="196" customFormat="false" ht="15" hidden="false" customHeight="false" outlineLevel="0" collapsed="false">
      <c r="M196" s="4" t="n">
        <v>815</v>
      </c>
      <c r="N196" s="10" t="s">
        <v>1</v>
      </c>
    </row>
    <row r="197" customFormat="false" ht="15" hidden="false" customHeight="false" outlineLevel="0" collapsed="false">
      <c r="M197" s="14" t="n">
        <v>60</v>
      </c>
      <c r="N197" s="10" t="s">
        <v>7</v>
      </c>
    </row>
    <row r="198" customFormat="false" ht="15" hidden="false" customHeight="false" outlineLevel="0" collapsed="false">
      <c r="M198" s="14" t="n">
        <v>115</v>
      </c>
      <c r="N198" s="10" t="s">
        <v>8</v>
      </c>
    </row>
    <row r="199" customFormat="false" ht="15" hidden="false" customHeight="false" outlineLevel="0" collapsed="false">
      <c r="M199" s="4" t="n">
        <v>816</v>
      </c>
      <c r="N199" s="10" t="s">
        <v>1</v>
      </c>
    </row>
    <row r="200" customFormat="false" ht="15" hidden="false" customHeight="false" outlineLevel="0" collapsed="false">
      <c r="M200" s="14" t="s">
        <v>34</v>
      </c>
      <c r="N200" s="10" t="s">
        <v>7</v>
      </c>
    </row>
    <row r="201" customFormat="false" ht="15" hidden="false" customHeight="false" outlineLevel="0" collapsed="false">
      <c r="M201" s="14" t="s">
        <v>34</v>
      </c>
      <c r="N201" s="10" t="s">
        <v>8</v>
      </c>
    </row>
    <row r="202" customFormat="false" ht="15" hidden="false" customHeight="false" outlineLevel="0" collapsed="false">
      <c r="M202" s="4" t="n">
        <v>817</v>
      </c>
      <c r="N202" s="10" t="s">
        <v>1</v>
      </c>
    </row>
    <row r="203" customFormat="false" ht="15" hidden="false" customHeight="false" outlineLevel="0" collapsed="false">
      <c r="M203" s="14" t="s">
        <v>44</v>
      </c>
      <c r="N203" s="10" t="s">
        <v>7</v>
      </c>
    </row>
    <row r="204" customFormat="false" ht="15" hidden="false" customHeight="false" outlineLevel="0" collapsed="false">
      <c r="M204" s="14" t="n">
        <v>80</v>
      </c>
      <c r="N204" s="10" t="s">
        <v>8</v>
      </c>
    </row>
    <row r="205" customFormat="false" ht="15" hidden="false" customHeight="false" outlineLevel="0" collapsed="false">
      <c r="M205" s="14" t="n">
        <v>901</v>
      </c>
      <c r="N205" s="10" t="s">
        <v>1</v>
      </c>
    </row>
    <row r="206" customFormat="false" ht="15" hidden="false" customHeight="false" outlineLevel="0" collapsed="false">
      <c r="M206" s="14" t="n">
        <v>34</v>
      </c>
      <c r="N206" s="10" t="s">
        <v>7</v>
      </c>
    </row>
    <row r="207" customFormat="false" ht="15" hidden="false" customHeight="false" outlineLevel="0" collapsed="false">
      <c r="M207" s="14" t="n">
        <v>35</v>
      </c>
      <c r="N207" s="10" t="s">
        <v>8</v>
      </c>
    </row>
    <row r="208" customFormat="false" ht="15" hidden="false" customHeight="false" outlineLevel="0" collapsed="false">
      <c r="M208" s="4" t="n">
        <v>902</v>
      </c>
      <c r="N208" s="10" t="s">
        <v>1</v>
      </c>
    </row>
    <row r="209" customFormat="false" ht="15" hidden="false" customHeight="false" outlineLevel="0" collapsed="false">
      <c r="M209" s="14" t="n">
        <v>17</v>
      </c>
      <c r="N209" s="10" t="s">
        <v>7</v>
      </c>
    </row>
    <row r="210" customFormat="false" ht="15" hidden="false" customHeight="false" outlineLevel="0" collapsed="false">
      <c r="M210" s="14" t="n">
        <v>35</v>
      </c>
      <c r="N210" s="10" t="s">
        <v>8</v>
      </c>
    </row>
    <row r="211" customFormat="false" ht="15" hidden="false" customHeight="false" outlineLevel="0" collapsed="false">
      <c r="M211" s="4" t="n">
        <v>903</v>
      </c>
      <c r="N211" s="10" t="s">
        <v>1</v>
      </c>
    </row>
    <row r="212" customFormat="false" ht="15" hidden="false" customHeight="false" outlineLevel="0" collapsed="false">
      <c r="M212" s="14"/>
      <c r="N212" s="10" t="s">
        <v>7</v>
      </c>
    </row>
    <row r="213" customFormat="false" ht="15" hidden="false" customHeight="false" outlineLevel="0" collapsed="false">
      <c r="M213" s="14"/>
      <c r="N213" s="10" t="s">
        <v>8</v>
      </c>
    </row>
    <row r="214" customFormat="false" ht="15" hidden="false" customHeight="false" outlineLevel="0" collapsed="false">
      <c r="M214" s="4" t="n">
        <v>904</v>
      </c>
      <c r="N214" s="10" t="s">
        <v>1</v>
      </c>
    </row>
    <row r="215" customFormat="false" ht="15" hidden="false" customHeight="false" outlineLevel="0" collapsed="false">
      <c r="M215" s="14" t="n">
        <v>54</v>
      </c>
      <c r="N215" s="10" t="s">
        <v>7</v>
      </c>
    </row>
    <row r="216" customFormat="false" ht="15" hidden="false" customHeight="false" outlineLevel="0" collapsed="false">
      <c r="M216" s="14" t="n">
        <v>35</v>
      </c>
      <c r="N216" s="10" t="s">
        <v>8</v>
      </c>
    </row>
    <row r="217" customFormat="false" ht="15" hidden="false" customHeight="false" outlineLevel="0" collapsed="false">
      <c r="M217" s="4" t="n">
        <v>905</v>
      </c>
      <c r="N217" s="10" t="s">
        <v>1</v>
      </c>
    </row>
    <row r="218" customFormat="false" ht="15" hidden="false" customHeight="false" outlineLevel="0" collapsed="false">
      <c r="M218" s="14"/>
      <c r="N218" s="10" t="s">
        <v>7</v>
      </c>
    </row>
    <row r="219" customFormat="false" ht="15" hidden="false" customHeight="false" outlineLevel="0" collapsed="false">
      <c r="M219" s="14"/>
      <c r="N219" s="10" t="s">
        <v>8</v>
      </c>
    </row>
    <row r="220" customFormat="false" ht="15" hidden="false" customHeight="false" outlineLevel="0" collapsed="false">
      <c r="M220" s="4" t="n">
        <v>906</v>
      </c>
      <c r="N220" s="10" t="s">
        <v>1</v>
      </c>
    </row>
    <row r="221" customFormat="false" ht="15" hidden="false" customHeight="false" outlineLevel="0" collapsed="false">
      <c r="M221" s="14"/>
      <c r="N221" s="10" t="s">
        <v>7</v>
      </c>
    </row>
    <row r="222" customFormat="false" ht="15" hidden="false" customHeight="false" outlineLevel="0" collapsed="false">
      <c r="M222" s="14"/>
      <c r="N222" s="10" t="s">
        <v>8</v>
      </c>
    </row>
    <row r="223" customFormat="false" ht="15" hidden="false" customHeight="false" outlineLevel="0" collapsed="false">
      <c r="M223" s="4" t="n">
        <v>907</v>
      </c>
      <c r="N223" s="10" t="s">
        <v>1</v>
      </c>
    </row>
    <row r="224" customFormat="false" ht="15" hidden="false" customHeight="false" outlineLevel="0" collapsed="false">
      <c r="M224" s="14"/>
      <c r="N224" s="10" t="s">
        <v>7</v>
      </c>
    </row>
    <row r="225" customFormat="false" ht="15" hidden="false" customHeight="false" outlineLevel="0" collapsed="false">
      <c r="M225" s="14"/>
      <c r="N225" s="10" t="s">
        <v>8</v>
      </c>
    </row>
    <row r="226" customFormat="false" ht="15" hidden="false" customHeight="false" outlineLevel="0" collapsed="false">
      <c r="M226" s="4" t="n">
        <v>908</v>
      </c>
      <c r="N226" s="10" t="s">
        <v>1</v>
      </c>
    </row>
    <row r="227" customFormat="false" ht="15" hidden="false" customHeight="false" outlineLevel="0" collapsed="false">
      <c r="M227" s="14"/>
      <c r="N227" s="10" t="s">
        <v>7</v>
      </c>
    </row>
    <row r="228" customFormat="false" ht="15" hidden="false" customHeight="false" outlineLevel="0" collapsed="false">
      <c r="M228" s="14"/>
      <c r="N228" s="10" t="s">
        <v>8</v>
      </c>
    </row>
    <row r="229" customFormat="false" ht="15" hidden="false" customHeight="false" outlineLevel="0" collapsed="false">
      <c r="M229" s="4" t="n">
        <v>909</v>
      </c>
      <c r="N229" s="10" t="s">
        <v>1</v>
      </c>
    </row>
    <row r="230" customFormat="false" ht="15" hidden="false" customHeight="false" outlineLevel="0" collapsed="false">
      <c r="M230" s="14"/>
      <c r="N230" s="10" t="s">
        <v>7</v>
      </c>
    </row>
    <row r="231" customFormat="false" ht="15" hidden="false" customHeight="false" outlineLevel="0" collapsed="false">
      <c r="M231" s="14"/>
      <c r="N231" s="10" t="s">
        <v>8</v>
      </c>
    </row>
    <row r="232" customFormat="false" ht="15" hidden="false" customHeight="false" outlineLevel="0" collapsed="false">
      <c r="M232" s="4" t="n">
        <v>910</v>
      </c>
      <c r="N232" s="10" t="s">
        <v>1</v>
      </c>
    </row>
    <row r="233" customFormat="false" ht="15" hidden="false" customHeight="false" outlineLevel="0" collapsed="false">
      <c r="N233" s="10" t="s">
        <v>7</v>
      </c>
    </row>
    <row r="234" customFormat="false" ht="15" hidden="false" customHeight="false" outlineLevel="0" collapsed="false">
      <c r="N234" s="10" t="s">
        <v>8</v>
      </c>
    </row>
    <row r="235" customFormat="false" ht="15" hidden="false" customHeight="false" outlineLevel="0" collapsed="false">
      <c r="M235" s="4" t="n">
        <v>911</v>
      </c>
      <c r="N235" s="10" t="s">
        <v>1</v>
      </c>
    </row>
    <row r="236" customFormat="false" ht="15" hidden="false" customHeight="false" outlineLevel="0" collapsed="false">
      <c r="M236" s="4" t="n">
        <v>36</v>
      </c>
      <c r="N236" s="10" t="s">
        <v>7</v>
      </c>
    </row>
    <row r="237" customFormat="false" ht="15" hidden="false" customHeight="false" outlineLevel="0" collapsed="false">
      <c r="M237" s="4" t="n">
        <v>35</v>
      </c>
      <c r="N237" s="10" t="s">
        <v>8</v>
      </c>
    </row>
    <row r="238" customFormat="false" ht="15" hidden="false" customHeight="false" outlineLevel="0" collapsed="false">
      <c r="M238" s="4" t="n">
        <v>912</v>
      </c>
      <c r="N238" s="10" t="s">
        <v>1</v>
      </c>
    </row>
    <row r="239" customFormat="false" ht="15" hidden="false" customHeight="false" outlineLevel="0" collapsed="false">
      <c r="M239" s="4" t="n">
        <v>10</v>
      </c>
      <c r="N239" s="10" t="s">
        <v>7</v>
      </c>
    </row>
    <row r="240" customFormat="false" ht="15" hidden="false" customHeight="false" outlineLevel="0" collapsed="false">
      <c r="M240" s="4" t="n">
        <v>35</v>
      </c>
      <c r="N240" s="10" t="s">
        <v>8</v>
      </c>
    </row>
    <row r="241" customFormat="false" ht="15" hidden="false" customHeight="false" outlineLevel="0" collapsed="false">
      <c r="M241" s="4" t="n">
        <v>913</v>
      </c>
      <c r="N241" s="10" t="s">
        <v>1</v>
      </c>
    </row>
    <row r="242" customFormat="false" ht="15" hidden="false" customHeight="false" outlineLevel="0" collapsed="false">
      <c r="M242" s="4" t="n">
        <v>28</v>
      </c>
      <c r="N242" s="10" t="s">
        <v>7</v>
      </c>
    </row>
    <row r="243" customFormat="false" ht="15" hidden="false" customHeight="false" outlineLevel="0" collapsed="false">
      <c r="M243" s="4" t="n">
        <v>35</v>
      </c>
      <c r="N243" s="10" t="s">
        <v>8</v>
      </c>
    </row>
    <row r="244" customFormat="false" ht="15" hidden="false" customHeight="false" outlineLevel="0" collapsed="false">
      <c r="M244" s="4" t="n">
        <v>914</v>
      </c>
      <c r="N244" s="10" t="s">
        <v>1</v>
      </c>
    </row>
    <row r="245" customFormat="false" ht="15" hidden="false" customHeight="false" outlineLevel="0" collapsed="false">
      <c r="M245" s="4" t="n">
        <v>28</v>
      </c>
      <c r="N245" s="10" t="s">
        <v>7</v>
      </c>
    </row>
    <row r="246" customFormat="false" ht="15" hidden="false" customHeight="false" outlineLevel="0" collapsed="false">
      <c r="M246" s="4" t="n">
        <v>35</v>
      </c>
      <c r="N246" s="10" t="s">
        <v>8</v>
      </c>
    </row>
    <row r="281" customFormat="false" ht="15" hidden="false" customHeight="false" outlineLevel="0" collapsed="false">
      <c r="M281" s="14"/>
    </row>
    <row r="282" customFormat="false" ht="15" hidden="false" customHeight="false" outlineLevel="0" collapsed="false">
      <c r="M282" s="14"/>
    </row>
    <row r="285" customFormat="false" ht="15" hidden="false" customHeight="false" outlineLevel="0" collapsed="false">
      <c r="M285" s="14"/>
    </row>
    <row r="286" customFormat="false" ht="15" hidden="false" customHeight="false" outlineLevel="0" collapsed="false">
      <c r="M286" s="14"/>
    </row>
  </sheetData>
  <dataValidations count="1">
    <dataValidation allowBlank="true" errorStyle="stop" operator="between" showDropDown="false" showErrorMessage="true" showInputMessage="true" sqref="R31" type="list">
      <formula1>#ref!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4" activeCellId="0" sqref="A4"/>
    </sheetView>
  </sheetViews>
  <sheetFormatPr defaultColWidth="8.79296875" defaultRowHeight="15" zeroHeight="false" outlineLevelRow="0" outlineLevelCol="0"/>
  <sheetData>
    <row r="1" customFormat="false" ht="15" hidden="false" customHeight="false" outlineLevel="0" collapsed="false">
      <c r="A1" s="1" t="s">
        <v>45</v>
      </c>
    </row>
    <row r="3" customFormat="false" ht="15" hidden="false" customHeight="false" outlineLevel="0" collapsed="false">
      <c r="A3" s="1" t="s">
        <v>46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N2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79296875" defaultRowHeight="31.5" zeroHeight="false" outlineLevelRow="0" outlineLevelCol="0"/>
  <cols>
    <col collapsed="false" customWidth="true" hidden="false" outlineLevel="0" max="1" min="1" style="2" width="13.85"/>
    <col collapsed="false" customWidth="true" hidden="false" outlineLevel="0" max="2" min="2" style="1" width="15.85"/>
    <col collapsed="false" customWidth="true" hidden="false" outlineLevel="0" max="10" min="10" style="1" width="22.42"/>
    <col collapsed="false" customWidth="true" hidden="false" outlineLevel="0" max="11" min="11" style="34" width="23.29"/>
  </cols>
  <sheetData>
    <row r="1" customFormat="false" ht="50.7" hidden="false" customHeight="true" outlineLevel="0" collapsed="false">
      <c r="A1" s="35" t="s">
        <v>47</v>
      </c>
      <c r="B1" s="35"/>
      <c r="C1" s="35"/>
      <c r="D1" s="35"/>
      <c r="E1" s="35"/>
      <c r="F1" s="35"/>
      <c r="G1" s="35"/>
      <c r="H1" s="35"/>
      <c r="I1" s="35"/>
      <c r="J1" s="35"/>
      <c r="K1" s="35"/>
    </row>
    <row r="3" customFormat="false" ht="31.5" hidden="false" customHeight="false" outlineLevel="0" collapsed="false">
      <c r="A3" s="36" t="s">
        <v>48</v>
      </c>
      <c r="B3" s="36"/>
      <c r="C3" s="36"/>
      <c r="D3" s="36"/>
      <c r="E3" s="36"/>
      <c r="F3" s="36"/>
      <c r="G3" s="36"/>
      <c r="H3" s="36"/>
      <c r="I3" s="36"/>
      <c r="J3" s="36"/>
      <c r="K3" s="36"/>
    </row>
    <row r="6" customFormat="false" ht="15" hidden="false" customHeight="true" outlineLevel="0" collapsed="false">
      <c r="A6" s="37" t="n">
        <f aca="false">AUCTION!I3</f>
        <v>0</v>
      </c>
      <c r="B6" s="37"/>
      <c r="C6" s="37"/>
      <c r="D6" s="37"/>
      <c r="E6" s="37"/>
      <c r="G6" s="38" t="s">
        <v>49</v>
      </c>
      <c r="H6" s="38"/>
      <c r="I6" s="39" t="str">
        <f aca="false">AUCTION!J2</f>
        <v>29</v>
      </c>
      <c r="J6" s="40"/>
      <c r="K6" s="40"/>
    </row>
    <row r="7" customFormat="false" ht="15" hidden="false" customHeight="true" outlineLevel="0" collapsed="false">
      <c r="A7" s="37"/>
      <c r="B7" s="37"/>
      <c r="C7" s="37"/>
      <c r="D7" s="37"/>
      <c r="E7" s="37"/>
      <c r="G7" s="38"/>
      <c r="H7" s="38"/>
      <c r="I7" s="39"/>
      <c r="J7" s="40"/>
      <c r="K7" s="40"/>
    </row>
    <row r="9" customFormat="false" ht="31.5" hidden="false" customHeight="false" outlineLevel="0" collapsed="false">
      <c r="A9" s="41" t="str">
        <f aca="false" t="array" ref="A9:A19">IF((AUCTION!K5:K15)="","",AUCTION!K5:K15)</f>
        <v>Auction Item</v>
      </c>
      <c r="B9" s="42" t="str">
        <f aca="false" t="array" ref="B9:B19">IF((AUCTION!I5:I15)="","",AUCTION!I5:I15)</f>
        <v>Item</v>
      </c>
      <c r="C9" s="42"/>
      <c r="D9" s="42"/>
      <c r="E9" s="42"/>
      <c r="F9" s="42"/>
      <c r="G9" s="42"/>
      <c r="H9" s="42"/>
      <c r="I9" s="42"/>
      <c r="J9" s="42"/>
      <c r="K9" s="34" t="str">
        <f aca="false" t="array" ref="K9:K19">IF((AUCTION!J5:J15)="","",AUCTION!J5:J15)</f>
        <v>Item Amount</v>
      </c>
    </row>
    <row r="10" customFormat="false" ht="31.5" hidden="false" customHeight="false" outlineLevel="0" collapsed="false">
      <c r="A10" s="41" t="n">
        <v>401</v>
      </c>
      <c r="B10" s="42" t="str">
        <v>Kittle House Inn     </v>
      </c>
      <c r="C10" s="42"/>
      <c r="D10" s="42"/>
      <c r="E10" s="42"/>
      <c r="F10" s="42"/>
      <c r="G10" s="42"/>
      <c r="H10" s="42"/>
      <c r="I10" s="42"/>
      <c r="J10" s="42"/>
      <c r="K10" s="34" t="n">
        <v>130</v>
      </c>
    </row>
    <row r="11" customFormat="false" ht="31.5" hidden="false" customHeight="false" outlineLevel="0" collapsed="false">
      <c r="A11" s="41" t="n">
        <v>6348</v>
      </c>
      <c r="B11" s="42" t="str">
        <v>ORCHID</v>
      </c>
      <c r="C11" s="42"/>
      <c r="D11" s="42"/>
      <c r="E11" s="42"/>
      <c r="F11" s="42"/>
      <c r="G11" s="42"/>
      <c r="H11" s="42"/>
      <c r="I11" s="42"/>
      <c r="J11" s="42"/>
      <c r="K11" s="34" t="n">
        <v>0</v>
      </c>
    </row>
    <row r="12" customFormat="false" ht="31.5" hidden="false" customHeight="false" outlineLevel="0" collapsed="false">
      <c r="A12" s="41" t="n">
        <v>206</v>
      </c>
      <c r="B12" s="42" t="str">
        <v>Orlando Hilton Hotel     </v>
      </c>
      <c r="C12" s="42"/>
      <c r="D12" s="42"/>
      <c r="E12" s="42"/>
      <c r="F12" s="42"/>
      <c r="G12" s="42"/>
      <c r="H12" s="42"/>
      <c r="I12" s="42"/>
      <c r="J12" s="42"/>
      <c r="K12" s="34" t="n">
        <v>1050</v>
      </c>
    </row>
    <row r="13" customFormat="false" ht="31.5" hidden="false" customHeight="false" outlineLevel="0" collapsed="false">
      <c r="A13" s="41" t="str">
        <v/>
      </c>
      <c r="B13" s="42" t="str">
        <v>(empty)</v>
      </c>
      <c r="C13" s="42"/>
      <c r="D13" s="42"/>
      <c r="E13" s="42"/>
      <c r="F13" s="42"/>
      <c r="G13" s="42"/>
      <c r="H13" s="42"/>
      <c r="I13" s="42"/>
      <c r="J13" s="42"/>
      <c r="K13" s="34" t="str">
        <v/>
      </c>
    </row>
    <row r="14" customFormat="false" ht="31.5" hidden="false" customHeight="false" outlineLevel="0" collapsed="false">
      <c r="A14" s="41" t="n">
        <v>6955</v>
      </c>
      <c r="B14" s="42" t="str">
        <v>Total Result</v>
      </c>
      <c r="C14" s="42"/>
      <c r="D14" s="42"/>
      <c r="E14" s="42"/>
      <c r="F14" s="42"/>
      <c r="G14" s="42"/>
      <c r="H14" s="42"/>
      <c r="I14" s="42"/>
      <c r="J14" s="42"/>
      <c r="K14" s="34" t="n">
        <v>1180</v>
      </c>
    </row>
    <row r="15" customFormat="false" ht="31.5" hidden="false" customHeight="false" outlineLevel="0" collapsed="false">
      <c r="A15" s="41" t="str">
        <v/>
      </c>
      <c r="B15" s="42" t="str">
        <v/>
      </c>
      <c r="C15" s="42"/>
      <c r="D15" s="42"/>
      <c r="E15" s="42"/>
      <c r="F15" s="42"/>
      <c r="G15" s="42"/>
      <c r="H15" s="42"/>
      <c r="I15" s="42"/>
      <c r="J15" s="42"/>
      <c r="K15" s="34" t="str">
        <v/>
      </c>
    </row>
    <row r="16" customFormat="false" ht="31.5" hidden="false" customHeight="false" outlineLevel="0" collapsed="false">
      <c r="A16" s="41" t="str">
        <v/>
      </c>
      <c r="B16" s="42" t="str">
        <v/>
      </c>
      <c r="C16" s="42"/>
      <c r="D16" s="42"/>
      <c r="E16" s="42"/>
      <c r="F16" s="42"/>
      <c r="G16" s="42"/>
      <c r="H16" s="42"/>
      <c r="I16" s="42"/>
      <c r="J16" s="42"/>
      <c r="K16" s="34" t="str">
        <v/>
      </c>
    </row>
    <row r="17" customFormat="false" ht="31.5" hidden="false" customHeight="false" outlineLevel="0" collapsed="false">
      <c r="A17" s="41" t="str">
        <v/>
      </c>
      <c r="B17" s="42" t="str">
        <v/>
      </c>
      <c r="C17" s="42"/>
      <c r="D17" s="42"/>
      <c r="E17" s="42"/>
      <c r="F17" s="42"/>
      <c r="G17" s="42"/>
      <c r="H17" s="42"/>
      <c r="I17" s="42"/>
      <c r="J17" s="42"/>
      <c r="K17" s="34" t="str">
        <v/>
      </c>
    </row>
    <row r="18" customFormat="false" ht="31.5" hidden="false" customHeight="false" outlineLevel="0" collapsed="false">
      <c r="A18" s="41" t="str">
        <v/>
      </c>
      <c r="B18" s="42" t="str">
        <v/>
      </c>
      <c r="C18" s="42"/>
      <c r="D18" s="42"/>
      <c r="E18" s="42"/>
      <c r="F18" s="42"/>
      <c r="G18" s="42"/>
      <c r="H18" s="42"/>
      <c r="I18" s="42"/>
      <c r="J18" s="42"/>
      <c r="K18" s="34" t="str">
        <v/>
      </c>
    </row>
    <row r="19" customFormat="false" ht="31.5" hidden="false" customHeight="false" outlineLevel="0" collapsed="false">
      <c r="A19" s="41" t="str">
        <v/>
      </c>
      <c r="B19" s="42" t="str">
        <v/>
      </c>
      <c r="C19" s="42"/>
      <c r="D19" s="42"/>
      <c r="E19" s="42"/>
      <c r="F19" s="42"/>
      <c r="G19" s="42"/>
      <c r="H19" s="42"/>
      <c r="I19" s="42"/>
      <c r="J19" s="42"/>
      <c r="K19" s="34" t="str">
        <v/>
      </c>
    </row>
    <row r="20" customFormat="false" ht="31.5" hidden="false" customHeight="false" outlineLevel="0" collapsed="false">
      <c r="A20" s="41"/>
      <c r="B20" s="42"/>
      <c r="C20" s="42"/>
      <c r="D20" s="42"/>
      <c r="E20" s="42"/>
      <c r="F20" s="42"/>
      <c r="G20" s="42"/>
      <c r="H20" s="42" t="s">
        <v>50</v>
      </c>
      <c r="I20" s="42"/>
      <c r="J20" s="42"/>
      <c r="K20" s="34" t="n">
        <f aca="false">AUCTION!I20</f>
        <v>2360</v>
      </c>
    </row>
    <row r="21" customFormat="false" ht="31.5" hidden="false" customHeight="false" outlineLevel="0" collapsed="false">
      <c r="A21" s="41"/>
      <c r="B21" s="42"/>
      <c r="C21" s="42"/>
      <c r="D21" s="42"/>
      <c r="E21" s="42"/>
      <c r="F21" s="42"/>
      <c r="G21" s="42"/>
      <c r="H21" s="42"/>
      <c r="I21" s="42"/>
    </row>
    <row r="22" customFormat="false" ht="31.5" hidden="false" customHeight="false" outlineLevel="0" collapsed="false">
      <c r="A22" s="43" t="s">
        <v>51</v>
      </c>
      <c r="B22" s="42"/>
      <c r="C22" s="42"/>
      <c r="D22" s="44" t="str">
        <f aca="false">AUCTION!I22</f>
        <v>American Express</v>
      </c>
      <c r="E22" s="44" t="b">
        <f aca="false">AUCTION!J22</f>
        <v>0</v>
      </c>
      <c r="F22" s="42"/>
      <c r="G22" s="44" t="str">
        <f aca="false">AUCTION!I24</f>
        <v>Check</v>
      </c>
      <c r="H22" s="44" t="b">
        <f aca="false">AUCTION!J24</f>
        <v>0</v>
      </c>
      <c r="I22" s="42"/>
      <c r="J22" s="44" t="str">
        <f aca="false">AUCTION!I26</f>
        <v>MasterCard</v>
      </c>
      <c r="K22" s="44" t="b">
        <f aca="false">AUCTION!J26</f>
        <v>0</v>
      </c>
      <c r="M22" s="44"/>
      <c r="N22" s="44"/>
    </row>
    <row r="23" customFormat="false" ht="31.5" hidden="false" customHeight="false" outlineLevel="0" collapsed="false">
      <c r="B23" s="42"/>
      <c r="D23" s="44" t="str">
        <f aca="false">AUCTION!I23</f>
        <v>Cash</v>
      </c>
      <c r="E23" s="44" t="b">
        <f aca="false">AUCTION!J23</f>
        <v>0</v>
      </c>
      <c r="G23" s="44" t="str">
        <f aca="false">AUCTION!I25</f>
        <v>Discover</v>
      </c>
      <c r="H23" s="44" t="b">
        <f aca="false">AUCTION!J25</f>
        <v>0</v>
      </c>
      <c r="J23" s="44" t="str">
        <f aca="false">AUCTION!I27</f>
        <v>Other</v>
      </c>
      <c r="K23" s="44" t="b">
        <f aca="false">AUCTION!J27</f>
        <v>0</v>
      </c>
      <c r="M23" s="44"/>
    </row>
    <row r="24" customFormat="false" ht="31.5" hidden="false" customHeight="true" outlineLevel="0" collapsed="false">
      <c r="D24" s="44"/>
      <c r="E24" s="44"/>
      <c r="G24" s="44"/>
      <c r="H24" s="44"/>
      <c r="J24" s="44" t="str">
        <f aca="false">AUCTION!I28</f>
        <v>Visa</v>
      </c>
      <c r="K24" s="44" t="b">
        <f aca="false">AUCTION!J28</f>
        <v>0</v>
      </c>
    </row>
    <row r="25" customFormat="false" ht="31.5" hidden="false" customHeight="false" outlineLevel="0" collapsed="false">
      <c r="D25" s="44"/>
      <c r="E25" s="44"/>
    </row>
    <row r="26" customFormat="false" ht="31.5" hidden="false" customHeight="false" outlineLevel="0" collapsed="false">
      <c r="D26" s="32"/>
    </row>
    <row r="27" customFormat="false" ht="31.5" hidden="false" customHeight="false" outlineLevel="0" collapsed="false">
      <c r="D27" s="32"/>
    </row>
  </sheetData>
  <mergeCells count="5">
    <mergeCell ref="A1:K1"/>
    <mergeCell ref="A3:K3"/>
    <mergeCell ref="A6:E7"/>
    <mergeCell ref="G6:H7"/>
    <mergeCell ref="I6:I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" activeCellId="0" sqref="E1"/>
    </sheetView>
  </sheetViews>
  <sheetFormatPr defaultColWidth="8.79296875" defaultRowHeight="15" zeroHeight="false" outlineLevelRow="0" outlineLevelCol="0"/>
  <cols>
    <col collapsed="false" customWidth="true" hidden="false" outlineLevel="0" max="1" min="1" style="2" width="21.85"/>
    <col collapsed="false" customWidth="true" hidden="false" outlineLevel="0" max="2" min="2" style="1" width="13.28"/>
    <col collapsed="false" customWidth="true" hidden="false" outlineLevel="0" max="3" min="3" style="1" width="14"/>
    <col collapsed="false" customWidth="true" hidden="false" outlineLevel="0" max="4" min="4" style="1" width="12.42"/>
    <col collapsed="false" customWidth="true" hidden="false" outlineLevel="0" max="5" min="5" style="2" width="14"/>
    <col collapsed="false" customWidth="true" hidden="false" outlineLevel="0" max="6" min="6" style="1" width="13.42"/>
    <col collapsed="false" customWidth="true" hidden="false" outlineLevel="0" max="7" min="7" style="1" width="27.14"/>
    <col collapsed="false" customWidth="true" hidden="false" outlineLevel="0" max="8" min="8" style="1" width="10.14"/>
    <col collapsed="false" customWidth="true" hidden="false" outlineLevel="0" max="9" min="9" style="1" width="12"/>
    <col collapsed="false" customWidth="true" hidden="false" outlineLevel="0" max="10" min="10" style="1" width="21.85"/>
    <col collapsed="false" customWidth="true" hidden="false" outlineLevel="0" max="11" min="11" style="1" width="13.42"/>
    <col collapsed="false" customWidth="true" hidden="false" outlineLevel="0" max="16" min="12" style="1" width="11.42"/>
    <col collapsed="false" customWidth="true" hidden="false" outlineLevel="0" max="17" min="17" style="1" width="12.42"/>
  </cols>
  <sheetData>
    <row r="1" customFormat="false" ht="15" hidden="false" customHeight="false" outlineLevel="0" collapsed="false">
      <c r="A1" s="45" t="s">
        <v>52</v>
      </c>
      <c r="B1" s="10" t="s">
        <v>53</v>
      </c>
      <c r="C1" s="10" t="s">
        <v>54</v>
      </c>
      <c r="D1" s="45" t="s">
        <v>55</v>
      </c>
      <c r="E1" s="45" t="s">
        <v>56</v>
      </c>
      <c r="F1" s="10" t="s">
        <v>57</v>
      </c>
      <c r="G1" s="10" t="s">
        <v>58</v>
      </c>
    </row>
    <row r="2" customFormat="false" ht="15" hidden="false" customHeight="false" outlineLevel="0" collapsed="false">
      <c r="A2" s="2" t="s">
        <v>59</v>
      </c>
      <c r="B2" s="10" t="s">
        <v>60</v>
      </c>
      <c r="C2" s="10" t="s">
        <v>61</v>
      </c>
      <c r="D2" s="2" t="n">
        <v>5</v>
      </c>
      <c r="E2" s="2" t="n">
        <v>1</v>
      </c>
      <c r="F2" s="10" t="s">
        <v>62</v>
      </c>
      <c r="G2" s="10" t="s">
        <v>59</v>
      </c>
    </row>
    <row r="3" customFormat="false" ht="15" hidden="false" customHeight="false" outlineLevel="0" collapsed="false">
      <c r="A3" s="2" t="s">
        <v>63</v>
      </c>
      <c r="B3" s="10" t="s">
        <v>60</v>
      </c>
      <c r="C3" s="10" t="s">
        <v>64</v>
      </c>
      <c r="D3" s="2" t="n">
        <v>5</v>
      </c>
      <c r="E3" s="2" t="n">
        <v>2</v>
      </c>
      <c r="F3" s="10" t="s">
        <v>62</v>
      </c>
      <c r="G3" s="10" t="s">
        <v>63</v>
      </c>
    </row>
    <row r="4" customFormat="false" ht="15" hidden="false" customHeight="false" outlineLevel="0" collapsed="false">
      <c r="A4" s="2" t="s">
        <v>65</v>
      </c>
      <c r="B4" s="10" t="s">
        <v>66</v>
      </c>
      <c r="C4" s="10" t="s">
        <v>67</v>
      </c>
      <c r="D4" s="2" t="n">
        <v>9</v>
      </c>
      <c r="E4" s="2" t="n">
        <v>3</v>
      </c>
      <c r="F4" s="10" t="s">
        <v>68</v>
      </c>
      <c r="G4" s="10" t="s">
        <v>65</v>
      </c>
    </row>
    <row r="5" customFormat="false" ht="15" hidden="false" customHeight="false" outlineLevel="0" collapsed="false">
      <c r="A5" s="2" t="s">
        <v>69</v>
      </c>
      <c r="B5" s="10" t="s">
        <v>66</v>
      </c>
      <c r="C5" s="10" t="s">
        <v>70</v>
      </c>
      <c r="D5" s="2" t="n">
        <v>9</v>
      </c>
      <c r="E5" s="2" t="n">
        <v>4</v>
      </c>
      <c r="F5" s="10" t="s">
        <v>68</v>
      </c>
      <c r="G5" s="10" t="s">
        <v>69</v>
      </c>
    </row>
    <row r="6" customFormat="false" ht="15" hidden="false" customHeight="false" outlineLevel="0" collapsed="false">
      <c r="A6" s="2" t="s">
        <v>71</v>
      </c>
      <c r="B6" s="10" t="s">
        <v>72</v>
      </c>
      <c r="C6" s="10" t="s">
        <v>73</v>
      </c>
      <c r="D6" s="2" t="n">
        <v>7</v>
      </c>
      <c r="E6" s="2" t="n">
        <v>5</v>
      </c>
      <c r="F6" s="10" t="s">
        <v>74</v>
      </c>
      <c r="G6" s="10" t="s">
        <v>71</v>
      </c>
    </row>
    <row r="7" customFormat="false" ht="15" hidden="false" customHeight="false" outlineLevel="0" collapsed="false">
      <c r="A7" s="2" t="s">
        <v>75</v>
      </c>
      <c r="B7" s="10" t="s">
        <v>76</v>
      </c>
      <c r="C7" s="10" t="s">
        <v>77</v>
      </c>
      <c r="D7" s="2" t="n">
        <v>7</v>
      </c>
      <c r="E7" s="2" t="n">
        <v>6</v>
      </c>
      <c r="F7" s="10" t="s">
        <v>78</v>
      </c>
      <c r="G7" s="10" t="s">
        <v>75</v>
      </c>
    </row>
    <row r="8" customFormat="false" ht="15" hidden="false" customHeight="false" outlineLevel="0" collapsed="false">
      <c r="A8" s="2" t="s">
        <v>79</v>
      </c>
      <c r="B8" s="10" t="s">
        <v>80</v>
      </c>
      <c r="C8" s="10" t="s">
        <v>81</v>
      </c>
      <c r="D8" s="2" t="n">
        <v>3</v>
      </c>
      <c r="E8" s="2" t="n">
        <v>7</v>
      </c>
      <c r="F8" s="10" t="s">
        <v>82</v>
      </c>
      <c r="G8" s="10" t="s">
        <v>79</v>
      </c>
    </row>
    <row r="9" customFormat="false" ht="15" hidden="false" customHeight="false" outlineLevel="0" collapsed="false">
      <c r="A9" s="2" t="s">
        <v>83</v>
      </c>
      <c r="B9" s="10" t="s">
        <v>84</v>
      </c>
      <c r="C9" s="10" t="s">
        <v>85</v>
      </c>
      <c r="D9" s="2" t="n">
        <v>4</v>
      </c>
      <c r="E9" s="2" t="n">
        <v>8</v>
      </c>
      <c r="F9" s="10" t="s">
        <v>86</v>
      </c>
      <c r="G9" s="10" t="s">
        <v>83</v>
      </c>
    </row>
    <row r="10" customFormat="false" ht="15" hidden="false" customHeight="false" outlineLevel="0" collapsed="false">
      <c r="A10" s="2" t="s">
        <v>87</v>
      </c>
      <c r="B10" s="10" t="s">
        <v>88</v>
      </c>
      <c r="C10" s="10" t="s">
        <v>89</v>
      </c>
      <c r="D10" s="2" t="n">
        <v>2</v>
      </c>
      <c r="E10" s="2" t="n">
        <v>9</v>
      </c>
      <c r="F10" s="10" t="s">
        <v>90</v>
      </c>
      <c r="G10" s="10" t="s">
        <v>87</v>
      </c>
    </row>
    <row r="11" customFormat="false" ht="15" hidden="false" customHeight="false" outlineLevel="0" collapsed="false">
      <c r="A11" s="2" t="s">
        <v>91</v>
      </c>
      <c r="B11" s="10" t="s">
        <v>92</v>
      </c>
      <c r="C11" s="10" t="s">
        <v>93</v>
      </c>
      <c r="D11" s="2" t="n">
        <v>9</v>
      </c>
      <c r="E11" s="2" t="n">
        <v>10</v>
      </c>
      <c r="F11" s="10" t="s">
        <v>94</v>
      </c>
      <c r="G11" s="10" t="s">
        <v>91</v>
      </c>
    </row>
    <row r="12" customFormat="false" ht="15" hidden="false" customHeight="false" outlineLevel="0" collapsed="false">
      <c r="A12" s="2" t="s">
        <v>95</v>
      </c>
      <c r="B12" s="10" t="s">
        <v>96</v>
      </c>
      <c r="C12" s="10" t="s">
        <v>97</v>
      </c>
      <c r="D12" s="2" t="n">
        <v>2</v>
      </c>
      <c r="E12" s="2" t="n">
        <v>11</v>
      </c>
      <c r="F12" s="10" t="s">
        <v>98</v>
      </c>
      <c r="G12" s="10" t="s">
        <v>95</v>
      </c>
    </row>
    <row r="13" customFormat="false" ht="15" hidden="false" customHeight="false" outlineLevel="0" collapsed="false">
      <c r="A13" s="2" t="s">
        <v>99</v>
      </c>
      <c r="B13" s="10" t="s">
        <v>100</v>
      </c>
      <c r="C13" s="10" t="s">
        <v>101</v>
      </c>
      <c r="D13" s="2" t="n">
        <v>3</v>
      </c>
      <c r="E13" s="2" t="n">
        <v>12</v>
      </c>
      <c r="F13" s="10" t="s">
        <v>102</v>
      </c>
      <c r="G13" s="10" t="s">
        <v>99</v>
      </c>
    </row>
    <row r="14" customFormat="false" ht="15" hidden="false" customHeight="false" outlineLevel="0" collapsed="false">
      <c r="A14" s="2" t="s">
        <v>103</v>
      </c>
      <c r="B14" s="10" t="s">
        <v>104</v>
      </c>
      <c r="C14" s="10" t="s">
        <v>105</v>
      </c>
      <c r="D14" s="2" t="n">
        <v>1</v>
      </c>
      <c r="E14" s="2" t="n">
        <v>13</v>
      </c>
      <c r="F14" s="10" t="s">
        <v>106</v>
      </c>
      <c r="G14" s="10" t="s">
        <v>103</v>
      </c>
    </row>
    <row r="15" customFormat="false" ht="15" hidden="false" customHeight="false" outlineLevel="0" collapsed="false">
      <c r="A15" s="2" t="s">
        <v>107</v>
      </c>
      <c r="B15" s="10" t="s">
        <v>108</v>
      </c>
      <c r="C15" s="10" t="s">
        <v>109</v>
      </c>
      <c r="D15" s="2" t="n">
        <v>5</v>
      </c>
      <c r="E15" s="2" t="n">
        <v>14</v>
      </c>
      <c r="F15" s="10" t="s">
        <v>110</v>
      </c>
      <c r="G15" s="10" t="s">
        <v>107</v>
      </c>
    </row>
    <row r="16" customFormat="false" ht="15" hidden="false" customHeight="false" outlineLevel="0" collapsed="false">
      <c r="A16" s="2" t="s">
        <v>111</v>
      </c>
      <c r="B16" s="10" t="s">
        <v>108</v>
      </c>
      <c r="C16" s="10" t="s">
        <v>112</v>
      </c>
      <c r="D16" s="2" t="n">
        <v>5</v>
      </c>
      <c r="E16" s="2" t="n">
        <v>15</v>
      </c>
      <c r="F16" s="10" t="s">
        <v>110</v>
      </c>
      <c r="G16" s="10" t="s">
        <v>111</v>
      </c>
    </row>
    <row r="17" customFormat="false" ht="15" hidden="false" customHeight="false" outlineLevel="0" collapsed="false">
      <c r="A17" s="2" t="s">
        <v>113</v>
      </c>
      <c r="B17" s="10" t="s">
        <v>108</v>
      </c>
      <c r="C17" s="10" t="s">
        <v>114</v>
      </c>
      <c r="D17" s="2" t="n">
        <v>5</v>
      </c>
      <c r="E17" s="2" t="n">
        <v>16</v>
      </c>
      <c r="F17" s="10" t="s">
        <v>110</v>
      </c>
      <c r="G17" s="10" t="s">
        <v>113</v>
      </c>
    </row>
    <row r="18" customFormat="false" ht="15" hidden="false" customHeight="false" outlineLevel="0" collapsed="false">
      <c r="A18" s="2" t="s">
        <v>115</v>
      </c>
      <c r="B18" s="10" t="s">
        <v>108</v>
      </c>
      <c r="C18" s="10" t="s">
        <v>116</v>
      </c>
      <c r="D18" s="2" t="n">
        <v>5</v>
      </c>
      <c r="E18" s="2" t="n">
        <v>17</v>
      </c>
      <c r="F18" s="10" t="s">
        <v>110</v>
      </c>
      <c r="G18" s="10" t="s">
        <v>115</v>
      </c>
    </row>
    <row r="19" customFormat="false" ht="15" hidden="false" customHeight="false" outlineLevel="0" collapsed="false">
      <c r="A19" s="2" t="s">
        <v>117</v>
      </c>
      <c r="B19" s="10" t="s">
        <v>118</v>
      </c>
      <c r="C19" s="10" t="s">
        <v>119</v>
      </c>
      <c r="D19" s="2" t="n">
        <v>1</v>
      </c>
      <c r="E19" s="2" t="n">
        <v>18</v>
      </c>
      <c r="F19" s="10" t="s">
        <v>120</v>
      </c>
      <c r="G19" s="10" t="s">
        <v>117</v>
      </c>
    </row>
    <row r="20" customFormat="false" ht="15" hidden="false" customHeight="false" outlineLevel="0" collapsed="false">
      <c r="A20" s="2" t="s">
        <v>121</v>
      </c>
      <c r="B20" s="10" t="s">
        <v>118</v>
      </c>
      <c r="C20" s="10" t="s">
        <v>122</v>
      </c>
      <c r="D20" s="2" t="n">
        <v>1</v>
      </c>
      <c r="E20" s="2" t="n">
        <v>19</v>
      </c>
      <c r="F20" s="10" t="s">
        <v>120</v>
      </c>
      <c r="G20" s="10" t="s">
        <v>121</v>
      </c>
    </row>
    <row r="21" customFormat="false" ht="15" hidden="false" customHeight="false" outlineLevel="0" collapsed="false">
      <c r="A21" s="2" t="s">
        <v>123</v>
      </c>
      <c r="B21" s="10" t="s">
        <v>124</v>
      </c>
      <c r="C21" s="10" t="s">
        <v>125</v>
      </c>
      <c r="D21" s="2" t="n">
        <v>7</v>
      </c>
      <c r="E21" s="2" t="n">
        <v>20</v>
      </c>
      <c r="F21" s="10" t="s">
        <v>126</v>
      </c>
      <c r="G21" s="10" t="s">
        <v>123</v>
      </c>
    </row>
    <row r="22" customFormat="false" ht="15" hidden="false" customHeight="false" outlineLevel="0" collapsed="false">
      <c r="A22" s="2" t="s">
        <v>127</v>
      </c>
      <c r="B22" s="10" t="s">
        <v>128</v>
      </c>
      <c r="C22" s="10" t="s">
        <v>129</v>
      </c>
      <c r="D22" s="2" t="n">
        <v>9</v>
      </c>
      <c r="E22" s="2" t="n">
        <v>21</v>
      </c>
      <c r="F22" s="10" t="s">
        <v>130</v>
      </c>
      <c r="G22" s="10" t="s">
        <v>127</v>
      </c>
    </row>
    <row r="23" customFormat="false" ht="15" hidden="false" customHeight="false" outlineLevel="0" collapsed="false">
      <c r="A23" s="2" t="s">
        <v>131</v>
      </c>
      <c r="B23" s="10" t="s">
        <v>132</v>
      </c>
      <c r="C23" s="10" t="s">
        <v>133</v>
      </c>
      <c r="D23" s="2" t="n">
        <v>2</v>
      </c>
      <c r="E23" s="2" t="n">
        <v>22</v>
      </c>
      <c r="F23" s="10" t="s">
        <v>134</v>
      </c>
      <c r="G23" s="10" t="s">
        <v>131</v>
      </c>
    </row>
    <row r="24" customFormat="false" ht="15" hidden="false" customHeight="false" outlineLevel="0" collapsed="false">
      <c r="A24" s="2" t="s">
        <v>135</v>
      </c>
      <c r="B24" s="10" t="s">
        <v>136</v>
      </c>
      <c r="C24" s="10" t="s">
        <v>137</v>
      </c>
      <c r="D24" s="2" t="n">
        <v>4</v>
      </c>
      <c r="E24" s="2" t="n">
        <v>23</v>
      </c>
      <c r="F24" s="10" t="s">
        <v>138</v>
      </c>
      <c r="G24" s="10" t="s">
        <v>135</v>
      </c>
    </row>
    <row r="25" customFormat="false" ht="15" hidden="false" customHeight="false" outlineLevel="0" collapsed="false">
      <c r="A25" s="2" t="s">
        <v>139</v>
      </c>
      <c r="B25" s="10" t="s">
        <v>136</v>
      </c>
      <c r="C25" s="10" t="s">
        <v>96</v>
      </c>
      <c r="D25" s="2" t="n">
        <v>4</v>
      </c>
      <c r="E25" s="2" t="n">
        <v>24</v>
      </c>
      <c r="F25" s="10" t="s">
        <v>138</v>
      </c>
      <c r="G25" s="10" t="s">
        <v>139</v>
      </c>
    </row>
    <row r="26" customFormat="false" ht="15" hidden="false" customHeight="false" outlineLevel="0" collapsed="false">
      <c r="A26" s="2" t="s">
        <v>140</v>
      </c>
      <c r="B26" s="10" t="s">
        <v>141</v>
      </c>
      <c r="C26" s="10" t="s">
        <v>142</v>
      </c>
      <c r="D26" s="2" t="n">
        <v>7</v>
      </c>
      <c r="E26" s="2" t="n">
        <v>25</v>
      </c>
      <c r="F26" s="10" t="s">
        <v>143</v>
      </c>
      <c r="G26" s="10" t="s">
        <v>140</v>
      </c>
    </row>
    <row r="27" customFormat="false" ht="15" hidden="false" customHeight="false" outlineLevel="0" collapsed="false">
      <c r="A27" s="2" t="s">
        <v>144</v>
      </c>
      <c r="B27" s="10" t="s">
        <v>145</v>
      </c>
      <c r="C27" s="10" t="s">
        <v>146</v>
      </c>
      <c r="D27" s="2" t="n">
        <v>3</v>
      </c>
      <c r="E27" s="2" t="n">
        <v>26</v>
      </c>
      <c r="F27" s="10" t="s">
        <v>147</v>
      </c>
      <c r="G27" s="10" t="s">
        <v>144</v>
      </c>
    </row>
    <row r="28" customFormat="false" ht="15" hidden="false" customHeight="false" outlineLevel="0" collapsed="false">
      <c r="A28" s="2" t="s">
        <v>148</v>
      </c>
      <c r="B28" s="10" t="s">
        <v>149</v>
      </c>
      <c r="C28" s="10" t="s">
        <v>150</v>
      </c>
      <c r="D28" s="2" t="n">
        <v>4</v>
      </c>
      <c r="E28" s="2" t="n">
        <v>27</v>
      </c>
      <c r="F28" s="10" t="s">
        <v>151</v>
      </c>
      <c r="G28" s="10" t="s">
        <v>148</v>
      </c>
    </row>
    <row r="29" customFormat="false" ht="15" hidden="false" customHeight="false" outlineLevel="0" collapsed="false">
      <c r="A29" s="2" t="s">
        <v>152</v>
      </c>
      <c r="B29" s="10" t="s">
        <v>149</v>
      </c>
      <c r="C29" s="10" t="s">
        <v>153</v>
      </c>
      <c r="D29" s="2" t="n">
        <v>4</v>
      </c>
      <c r="E29" s="2" t="n">
        <v>28</v>
      </c>
      <c r="F29" s="10" t="s">
        <v>151</v>
      </c>
      <c r="G29" s="10" t="s">
        <v>152</v>
      </c>
    </row>
    <row r="30" customFormat="false" ht="15" hidden="false" customHeight="false" outlineLevel="0" collapsed="false">
      <c r="A30" s="2" t="s">
        <v>154</v>
      </c>
      <c r="B30" s="10" t="s">
        <v>155</v>
      </c>
      <c r="C30" s="10" t="s">
        <v>119</v>
      </c>
      <c r="D30" s="2" t="n">
        <v>5</v>
      </c>
      <c r="E30" s="2" t="n">
        <v>29</v>
      </c>
      <c r="F30" s="10" t="s">
        <v>156</v>
      </c>
      <c r="G30" s="10" t="s">
        <v>154</v>
      </c>
    </row>
    <row r="31" customFormat="false" ht="15" hidden="false" customHeight="false" outlineLevel="0" collapsed="false">
      <c r="A31" s="2" t="s">
        <v>157</v>
      </c>
      <c r="B31" s="10" t="s">
        <v>158</v>
      </c>
      <c r="C31" s="10" t="s">
        <v>159</v>
      </c>
      <c r="D31" s="2" t="n">
        <v>6</v>
      </c>
      <c r="E31" s="2" t="n">
        <v>30</v>
      </c>
      <c r="F31" s="10" t="s">
        <v>160</v>
      </c>
      <c r="G31" s="10" t="s">
        <v>157</v>
      </c>
    </row>
    <row r="32" customFormat="false" ht="15" hidden="false" customHeight="false" outlineLevel="0" collapsed="false">
      <c r="A32" s="2" t="s">
        <v>161</v>
      </c>
      <c r="B32" s="10" t="s">
        <v>158</v>
      </c>
      <c r="C32" s="10" t="s">
        <v>162</v>
      </c>
      <c r="D32" s="2" t="n">
        <v>6</v>
      </c>
      <c r="E32" s="2" t="n">
        <v>31</v>
      </c>
      <c r="F32" s="10" t="s">
        <v>160</v>
      </c>
      <c r="G32" s="10" t="s">
        <v>161</v>
      </c>
    </row>
    <row r="33" customFormat="false" ht="15" hidden="false" customHeight="false" outlineLevel="0" collapsed="false">
      <c r="A33" s="2" t="s">
        <v>163</v>
      </c>
      <c r="B33" s="10" t="s">
        <v>158</v>
      </c>
      <c r="C33" s="10" t="s">
        <v>164</v>
      </c>
      <c r="D33" s="2" t="n">
        <v>6</v>
      </c>
      <c r="E33" s="2" t="n">
        <v>32</v>
      </c>
      <c r="F33" s="10" t="s">
        <v>160</v>
      </c>
      <c r="G33" s="10" t="s">
        <v>163</v>
      </c>
    </row>
    <row r="34" customFormat="false" ht="15" hidden="false" customHeight="false" outlineLevel="0" collapsed="false">
      <c r="A34" s="2" t="s">
        <v>165</v>
      </c>
      <c r="B34" s="10" t="s">
        <v>166</v>
      </c>
      <c r="C34" s="10" t="s">
        <v>167</v>
      </c>
      <c r="D34" s="2" t="n">
        <v>9</v>
      </c>
      <c r="E34" s="2" t="n">
        <v>33</v>
      </c>
      <c r="F34" s="10" t="s">
        <v>168</v>
      </c>
      <c r="G34" s="10" t="s">
        <v>165</v>
      </c>
    </row>
    <row r="35" customFormat="false" ht="15" hidden="false" customHeight="false" outlineLevel="0" collapsed="false">
      <c r="A35" s="2" t="s">
        <v>169</v>
      </c>
      <c r="B35" s="10" t="s">
        <v>166</v>
      </c>
      <c r="C35" s="10" t="s">
        <v>170</v>
      </c>
      <c r="D35" s="2" t="n">
        <v>9</v>
      </c>
      <c r="E35" s="2" t="n">
        <v>34</v>
      </c>
      <c r="F35" s="10" t="s">
        <v>168</v>
      </c>
      <c r="G35" s="10" t="s">
        <v>169</v>
      </c>
    </row>
    <row r="36" customFormat="false" ht="15" hidden="false" customHeight="false" outlineLevel="0" collapsed="false">
      <c r="A36" s="2" t="s">
        <v>171</v>
      </c>
      <c r="B36" s="10" t="s">
        <v>172</v>
      </c>
      <c r="C36" s="10" t="s">
        <v>173</v>
      </c>
      <c r="D36" s="2" t="n">
        <v>1</v>
      </c>
      <c r="E36" s="2" t="n">
        <v>35</v>
      </c>
      <c r="F36" s="10" t="s">
        <v>174</v>
      </c>
      <c r="G36" s="10" t="s">
        <v>171</v>
      </c>
    </row>
    <row r="37" customFormat="false" ht="15" hidden="false" customHeight="false" outlineLevel="0" collapsed="false">
      <c r="A37" s="2" t="s">
        <v>175</v>
      </c>
      <c r="B37" s="10" t="s">
        <v>176</v>
      </c>
      <c r="C37" s="10" t="s">
        <v>177</v>
      </c>
      <c r="D37" s="2" t="n">
        <v>5</v>
      </c>
      <c r="E37" s="2" t="n">
        <v>36</v>
      </c>
      <c r="F37" s="10" t="s">
        <v>178</v>
      </c>
      <c r="G37" s="10" t="s">
        <v>175</v>
      </c>
    </row>
    <row r="38" customFormat="false" ht="15" hidden="false" customHeight="false" outlineLevel="0" collapsed="false">
      <c r="A38" s="2" t="s">
        <v>179</v>
      </c>
      <c r="B38" s="10" t="s">
        <v>180</v>
      </c>
      <c r="C38" s="10" t="s">
        <v>181</v>
      </c>
      <c r="D38" s="2" t="n">
        <v>1</v>
      </c>
      <c r="E38" s="2" t="n">
        <v>37</v>
      </c>
      <c r="F38" s="10" t="s">
        <v>182</v>
      </c>
      <c r="G38" s="10" t="s">
        <v>179</v>
      </c>
    </row>
    <row r="39" customFormat="false" ht="15" hidden="false" customHeight="false" outlineLevel="0" collapsed="false">
      <c r="A39" s="2" t="s">
        <v>183</v>
      </c>
      <c r="B39" s="10" t="s">
        <v>180</v>
      </c>
      <c r="C39" s="10" t="s">
        <v>184</v>
      </c>
      <c r="D39" s="2" t="n">
        <v>1</v>
      </c>
      <c r="E39" s="2" t="n">
        <v>38</v>
      </c>
      <c r="F39" s="10" t="s">
        <v>182</v>
      </c>
      <c r="G39" s="10" t="s">
        <v>183</v>
      </c>
    </row>
    <row r="40" customFormat="false" ht="15" hidden="false" customHeight="false" outlineLevel="0" collapsed="false">
      <c r="A40" s="2" t="s">
        <v>185</v>
      </c>
      <c r="B40" s="10" t="s">
        <v>186</v>
      </c>
      <c r="C40" s="10" t="s">
        <v>187</v>
      </c>
      <c r="D40" s="2" t="n">
        <v>3</v>
      </c>
      <c r="E40" s="2" t="n">
        <v>39</v>
      </c>
      <c r="F40" s="10" t="s">
        <v>188</v>
      </c>
      <c r="G40" s="10" t="s">
        <v>185</v>
      </c>
    </row>
    <row r="41" customFormat="false" ht="15" hidden="false" customHeight="false" outlineLevel="0" collapsed="false">
      <c r="A41" s="2" t="s">
        <v>189</v>
      </c>
      <c r="B41" s="10" t="s">
        <v>190</v>
      </c>
      <c r="C41" s="10" t="s">
        <v>191</v>
      </c>
      <c r="D41" s="2" t="n">
        <v>8</v>
      </c>
      <c r="E41" s="2" t="n">
        <v>40</v>
      </c>
      <c r="F41" s="10" t="s">
        <v>192</v>
      </c>
      <c r="G41" s="10" t="s">
        <v>189</v>
      </c>
    </row>
    <row r="42" customFormat="false" ht="15" hidden="false" customHeight="false" outlineLevel="0" collapsed="false">
      <c r="A42" s="2" t="s">
        <v>193</v>
      </c>
      <c r="B42" s="10" t="s">
        <v>194</v>
      </c>
      <c r="C42" s="10" t="s">
        <v>195</v>
      </c>
      <c r="D42" s="2" t="n">
        <v>8</v>
      </c>
      <c r="E42" s="2" t="n">
        <v>41</v>
      </c>
      <c r="F42" s="10" t="s">
        <v>196</v>
      </c>
      <c r="G42" s="10" t="s">
        <v>193</v>
      </c>
    </row>
    <row r="43" customFormat="false" ht="15" hidden="false" customHeight="false" outlineLevel="0" collapsed="false">
      <c r="A43" s="2" t="s">
        <v>197</v>
      </c>
      <c r="B43" s="10" t="s">
        <v>194</v>
      </c>
      <c r="C43" s="10" t="s">
        <v>198</v>
      </c>
      <c r="D43" s="2" t="n">
        <v>8</v>
      </c>
      <c r="E43" s="2" t="n">
        <v>42</v>
      </c>
      <c r="F43" s="10" t="s">
        <v>196</v>
      </c>
      <c r="G43" s="10" t="s">
        <v>197</v>
      </c>
    </row>
    <row r="44" customFormat="false" ht="15" hidden="false" customHeight="false" outlineLevel="0" collapsed="false">
      <c r="A44" s="2" t="s">
        <v>199</v>
      </c>
      <c r="B44" s="10" t="s">
        <v>194</v>
      </c>
      <c r="C44" s="10" t="s">
        <v>200</v>
      </c>
      <c r="D44" s="2" t="n">
        <v>8</v>
      </c>
      <c r="E44" s="2" t="n">
        <v>43</v>
      </c>
      <c r="F44" s="10" t="s">
        <v>196</v>
      </c>
      <c r="G44" s="10" t="s">
        <v>199</v>
      </c>
    </row>
    <row r="45" customFormat="false" ht="15" hidden="false" customHeight="false" outlineLevel="0" collapsed="false">
      <c r="A45" s="2" t="s">
        <v>201</v>
      </c>
      <c r="B45" s="10" t="s">
        <v>194</v>
      </c>
      <c r="C45" s="10" t="s">
        <v>202</v>
      </c>
      <c r="D45" s="2" t="n">
        <v>8</v>
      </c>
      <c r="E45" s="2" t="n">
        <v>44</v>
      </c>
      <c r="F45" s="10" t="s">
        <v>196</v>
      </c>
      <c r="G45" s="10" t="s">
        <v>201</v>
      </c>
    </row>
    <row r="46" customFormat="false" ht="15" hidden="false" customHeight="false" outlineLevel="0" collapsed="false">
      <c r="A46" s="2" t="s">
        <v>203</v>
      </c>
      <c r="B46" s="10" t="s">
        <v>194</v>
      </c>
      <c r="C46" s="10" t="s">
        <v>204</v>
      </c>
      <c r="D46" s="2" t="n">
        <v>8</v>
      </c>
      <c r="E46" s="2" t="n">
        <v>45</v>
      </c>
      <c r="F46" s="10" t="s">
        <v>196</v>
      </c>
      <c r="G46" s="10" t="s">
        <v>203</v>
      </c>
    </row>
    <row r="47" customFormat="false" ht="15" hidden="false" customHeight="false" outlineLevel="0" collapsed="false">
      <c r="A47" s="2" t="s">
        <v>205</v>
      </c>
      <c r="B47" s="10" t="s">
        <v>194</v>
      </c>
      <c r="C47" s="10" t="s">
        <v>206</v>
      </c>
      <c r="D47" s="2" t="n">
        <v>8</v>
      </c>
      <c r="E47" s="2" t="n">
        <v>46</v>
      </c>
      <c r="F47" s="10" t="s">
        <v>196</v>
      </c>
      <c r="G47" s="10" t="s">
        <v>205</v>
      </c>
    </row>
    <row r="48" customFormat="false" ht="15" hidden="false" customHeight="false" outlineLevel="0" collapsed="false">
      <c r="A48" s="2" t="s">
        <v>207</v>
      </c>
      <c r="B48" s="10" t="s">
        <v>194</v>
      </c>
      <c r="C48" s="10" t="s">
        <v>208</v>
      </c>
      <c r="D48" s="2" t="n">
        <v>8</v>
      </c>
      <c r="E48" s="2" t="n">
        <v>47</v>
      </c>
      <c r="F48" s="10" t="s">
        <v>196</v>
      </c>
      <c r="G48" s="10" t="s">
        <v>207</v>
      </c>
    </row>
    <row r="49" customFormat="false" ht="15" hidden="false" customHeight="false" outlineLevel="0" collapsed="false">
      <c r="A49" s="2" t="s">
        <v>209</v>
      </c>
      <c r="B49" s="10" t="s">
        <v>210</v>
      </c>
      <c r="C49" s="10" t="s">
        <v>211</v>
      </c>
      <c r="D49" s="2" t="n">
        <v>2</v>
      </c>
      <c r="E49" s="2" t="n">
        <v>48</v>
      </c>
      <c r="F49" s="10" t="s">
        <v>212</v>
      </c>
      <c r="G49" s="10" t="s">
        <v>209</v>
      </c>
    </row>
    <row r="50" customFormat="false" ht="15" hidden="false" customHeight="false" outlineLevel="0" collapsed="false">
      <c r="A50" s="2" t="s">
        <v>213</v>
      </c>
      <c r="B50" s="10" t="s">
        <v>214</v>
      </c>
      <c r="C50" s="10" t="s">
        <v>153</v>
      </c>
      <c r="D50" s="2" t="n">
        <v>2</v>
      </c>
      <c r="E50" s="2" t="n">
        <v>49</v>
      </c>
      <c r="F50" s="10" t="s">
        <v>215</v>
      </c>
      <c r="G50" s="10" t="s">
        <v>213</v>
      </c>
    </row>
    <row r="51" customFormat="false" ht="15" hidden="false" customHeight="false" outlineLevel="0" collapsed="false">
      <c r="A51" s="2" t="s">
        <v>216</v>
      </c>
      <c r="B51" s="10" t="s">
        <v>214</v>
      </c>
      <c r="C51" s="10" t="s">
        <v>217</v>
      </c>
      <c r="D51" s="2" t="n">
        <v>2</v>
      </c>
      <c r="E51" s="2" t="n">
        <v>50</v>
      </c>
      <c r="F51" s="10" t="s">
        <v>215</v>
      </c>
      <c r="G51" s="10" t="s">
        <v>216</v>
      </c>
    </row>
    <row r="52" customFormat="false" ht="15" hidden="false" customHeight="false" outlineLevel="0" collapsed="false">
      <c r="A52" s="2" t="s">
        <v>218</v>
      </c>
      <c r="B52" s="10" t="s">
        <v>219</v>
      </c>
      <c r="C52" s="10" t="s">
        <v>220</v>
      </c>
      <c r="D52" s="2" t="n">
        <v>3</v>
      </c>
      <c r="E52" s="2" t="n">
        <v>51</v>
      </c>
      <c r="F52" s="10" t="s">
        <v>221</v>
      </c>
      <c r="G52" s="10" t="s">
        <v>218</v>
      </c>
    </row>
    <row r="53" customFormat="false" ht="15" hidden="false" customHeight="false" outlineLevel="0" collapsed="false">
      <c r="A53" s="2" t="s">
        <v>222</v>
      </c>
      <c r="B53" s="10" t="s">
        <v>223</v>
      </c>
      <c r="C53" s="10" t="s">
        <v>224</v>
      </c>
      <c r="D53" s="2" t="n">
        <v>8</v>
      </c>
      <c r="E53" s="2" t="n">
        <v>52</v>
      </c>
      <c r="F53" s="10" t="s">
        <v>225</v>
      </c>
      <c r="G53" s="10" t="s">
        <v>222</v>
      </c>
    </row>
    <row r="54" customFormat="false" ht="15" hidden="false" customHeight="false" outlineLevel="0" collapsed="false">
      <c r="A54" s="2" t="s">
        <v>226</v>
      </c>
      <c r="B54" s="10" t="s">
        <v>227</v>
      </c>
      <c r="C54" s="10" t="s">
        <v>228</v>
      </c>
      <c r="D54" s="2" t="n">
        <v>7</v>
      </c>
      <c r="E54" s="2" t="n">
        <v>53</v>
      </c>
      <c r="F54" s="10" t="s">
        <v>229</v>
      </c>
      <c r="G54" s="10" t="s">
        <v>226</v>
      </c>
    </row>
    <row r="55" customFormat="false" ht="15" hidden="false" customHeight="false" outlineLevel="0" collapsed="false">
      <c r="A55" s="2" t="s">
        <v>230</v>
      </c>
      <c r="B55" s="10" t="s">
        <v>227</v>
      </c>
      <c r="C55" s="10" t="s">
        <v>231</v>
      </c>
      <c r="D55" s="2" t="n">
        <v>7</v>
      </c>
      <c r="E55" s="2" t="n">
        <v>54</v>
      </c>
      <c r="F55" s="10" t="s">
        <v>229</v>
      </c>
      <c r="G55" s="10" t="s">
        <v>230</v>
      </c>
    </row>
    <row r="56" customFormat="false" ht="15" hidden="false" customHeight="false" outlineLevel="0" collapsed="false">
      <c r="A56" s="2" t="s">
        <v>232</v>
      </c>
      <c r="B56" s="10" t="s">
        <v>233</v>
      </c>
      <c r="C56" s="10" t="s">
        <v>234</v>
      </c>
      <c r="D56" s="2" t="n">
        <v>7</v>
      </c>
      <c r="E56" s="2" t="n">
        <v>55</v>
      </c>
      <c r="F56" s="10" t="s">
        <v>235</v>
      </c>
      <c r="G56" s="10" t="s">
        <v>232</v>
      </c>
    </row>
    <row r="57" customFormat="false" ht="15" hidden="false" customHeight="false" outlineLevel="0" collapsed="false">
      <c r="A57" s="2" t="s">
        <v>236</v>
      </c>
      <c r="B57" s="10" t="s">
        <v>237</v>
      </c>
      <c r="C57" s="10" t="s">
        <v>122</v>
      </c>
      <c r="D57" s="2" t="n">
        <v>7</v>
      </c>
      <c r="E57" s="2" t="n">
        <v>56</v>
      </c>
      <c r="F57" s="10" t="s">
        <v>238</v>
      </c>
      <c r="G57" s="10" t="s">
        <v>236</v>
      </c>
    </row>
    <row r="58" customFormat="false" ht="15" hidden="false" customHeight="false" outlineLevel="0" collapsed="false">
      <c r="A58" s="2" t="s">
        <v>239</v>
      </c>
      <c r="B58" s="10" t="s">
        <v>240</v>
      </c>
      <c r="C58" s="10" t="s">
        <v>241</v>
      </c>
      <c r="D58" s="2" t="n">
        <v>1</v>
      </c>
      <c r="E58" s="2" t="n">
        <v>57</v>
      </c>
      <c r="F58" s="10" t="s">
        <v>242</v>
      </c>
      <c r="G58" s="10" t="s">
        <v>239</v>
      </c>
    </row>
    <row r="59" customFormat="false" ht="15" hidden="false" customHeight="false" outlineLevel="0" collapsed="false">
      <c r="A59" s="2" t="s">
        <v>243</v>
      </c>
      <c r="B59" s="10" t="s">
        <v>240</v>
      </c>
      <c r="C59" s="10" t="s">
        <v>244</v>
      </c>
      <c r="D59" s="2" t="n">
        <v>1</v>
      </c>
      <c r="E59" s="2" t="n">
        <v>58</v>
      </c>
      <c r="F59" s="10" t="s">
        <v>242</v>
      </c>
      <c r="G59" s="10" t="s">
        <v>243</v>
      </c>
    </row>
    <row r="60" customFormat="false" ht="15" hidden="false" customHeight="false" outlineLevel="0" collapsed="false">
      <c r="A60" s="2" t="s">
        <v>245</v>
      </c>
      <c r="B60" s="10" t="s">
        <v>246</v>
      </c>
      <c r="C60" s="10" t="s">
        <v>247</v>
      </c>
      <c r="D60" s="2" t="n">
        <v>9</v>
      </c>
      <c r="E60" s="2" t="n">
        <v>59</v>
      </c>
      <c r="F60" s="10" t="s">
        <v>248</v>
      </c>
      <c r="G60" s="10" t="s">
        <v>245</v>
      </c>
    </row>
    <row r="61" customFormat="false" ht="15" hidden="false" customHeight="false" outlineLevel="0" collapsed="false">
      <c r="A61" s="2" t="s">
        <v>249</v>
      </c>
      <c r="B61" s="10" t="s">
        <v>246</v>
      </c>
      <c r="C61" s="10" t="s">
        <v>250</v>
      </c>
      <c r="D61" s="2" t="n">
        <v>9</v>
      </c>
      <c r="E61" s="2" t="n">
        <v>60</v>
      </c>
      <c r="F61" s="10" t="s">
        <v>248</v>
      </c>
      <c r="G61" s="10" t="s">
        <v>249</v>
      </c>
    </row>
    <row r="62" customFormat="false" ht="15" hidden="false" customHeight="false" outlineLevel="0" collapsed="false">
      <c r="A62" s="2" t="s">
        <v>251</v>
      </c>
      <c r="B62" s="10" t="s">
        <v>252</v>
      </c>
      <c r="C62" s="10" t="s">
        <v>247</v>
      </c>
      <c r="D62" s="2" t="n">
        <v>6</v>
      </c>
      <c r="E62" s="2" t="n">
        <v>61</v>
      </c>
      <c r="F62" s="10" t="s">
        <v>253</v>
      </c>
      <c r="G62" s="10" t="s">
        <v>251</v>
      </c>
    </row>
    <row r="63" customFormat="false" ht="15" hidden="false" customHeight="false" outlineLevel="0" collapsed="false">
      <c r="A63" s="2" t="s">
        <v>254</v>
      </c>
      <c r="B63" s="10" t="s">
        <v>255</v>
      </c>
      <c r="C63" s="10" t="s">
        <v>256</v>
      </c>
      <c r="D63" s="2" t="n">
        <v>9</v>
      </c>
      <c r="E63" s="2" t="n">
        <v>62</v>
      </c>
      <c r="F63" s="10" t="s">
        <v>257</v>
      </c>
      <c r="G63" s="10" t="s">
        <v>254</v>
      </c>
    </row>
    <row r="64" customFormat="false" ht="15" hidden="false" customHeight="false" outlineLevel="0" collapsed="false">
      <c r="A64" s="2" t="s">
        <v>258</v>
      </c>
      <c r="B64" s="10" t="s">
        <v>255</v>
      </c>
      <c r="C64" s="10" t="s">
        <v>259</v>
      </c>
      <c r="D64" s="2" t="n">
        <v>10</v>
      </c>
      <c r="E64" s="2" t="n">
        <v>63</v>
      </c>
      <c r="F64" s="10" t="s">
        <v>257</v>
      </c>
      <c r="G64" s="10" t="s">
        <v>258</v>
      </c>
    </row>
    <row r="65" customFormat="false" ht="15" hidden="false" customHeight="false" outlineLevel="0" collapsed="false">
      <c r="A65" s="2" t="s">
        <v>260</v>
      </c>
      <c r="B65" s="10" t="s">
        <v>255</v>
      </c>
      <c r="C65" s="10" t="s">
        <v>261</v>
      </c>
      <c r="D65" s="2" t="n">
        <v>10</v>
      </c>
      <c r="E65" s="2" t="n">
        <v>64</v>
      </c>
      <c r="F65" s="10" t="s">
        <v>257</v>
      </c>
      <c r="G65" s="10" t="s">
        <v>260</v>
      </c>
    </row>
    <row r="66" customFormat="false" ht="15" hidden="false" customHeight="false" outlineLevel="0" collapsed="false">
      <c r="A66" s="2" t="s">
        <v>262</v>
      </c>
      <c r="B66" s="10" t="s">
        <v>255</v>
      </c>
      <c r="C66" s="10" t="s">
        <v>263</v>
      </c>
      <c r="D66" s="2" t="n">
        <v>10</v>
      </c>
      <c r="E66" s="2" t="n">
        <v>65</v>
      </c>
      <c r="F66" s="10" t="s">
        <v>257</v>
      </c>
      <c r="G66" s="10" t="s">
        <v>262</v>
      </c>
    </row>
    <row r="67" customFormat="false" ht="15" hidden="false" customHeight="false" outlineLevel="0" collapsed="false">
      <c r="A67" s="2" t="s">
        <v>264</v>
      </c>
      <c r="B67" s="10" t="s">
        <v>265</v>
      </c>
      <c r="C67" s="10" t="s">
        <v>217</v>
      </c>
      <c r="D67" s="2" t="n">
        <v>6</v>
      </c>
      <c r="E67" s="2" t="n">
        <v>66</v>
      </c>
      <c r="F67" s="10" t="s">
        <v>266</v>
      </c>
      <c r="G67" s="10" t="s">
        <v>264</v>
      </c>
    </row>
    <row r="68" customFormat="false" ht="15" hidden="false" customHeight="false" outlineLevel="0" collapsed="false">
      <c r="A68" s="2" t="s">
        <v>267</v>
      </c>
      <c r="B68" s="10" t="s">
        <v>268</v>
      </c>
      <c r="C68" s="10" t="s">
        <v>217</v>
      </c>
      <c r="D68" s="2" t="n">
        <v>3</v>
      </c>
      <c r="E68" s="2" t="n">
        <v>67</v>
      </c>
      <c r="F68" s="10" t="s">
        <v>269</v>
      </c>
      <c r="G68" s="10" t="s">
        <v>267</v>
      </c>
    </row>
    <row r="69" customFormat="false" ht="15" hidden="false" customHeight="false" outlineLevel="0" collapsed="false">
      <c r="A69" s="2" t="s">
        <v>270</v>
      </c>
      <c r="B69" s="10" t="s">
        <v>271</v>
      </c>
      <c r="C69" s="10" t="s">
        <v>272</v>
      </c>
      <c r="D69" s="2" t="n">
        <v>4</v>
      </c>
      <c r="E69" s="2" t="n">
        <v>68</v>
      </c>
      <c r="F69" s="10" t="s">
        <v>273</v>
      </c>
      <c r="G69" s="10" t="s">
        <v>270</v>
      </c>
    </row>
    <row r="70" customFormat="false" ht="15" hidden="false" customHeight="false" outlineLevel="0" collapsed="false">
      <c r="A70" s="2" t="s">
        <v>274</v>
      </c>
      <c r="B70" s="10" t="s">
        <v>275</v>
      </c>
      <c r="C70" s="10" t="s">
        <v>276</v>
      </c>
      <c r="D70" s="2" t="n">
        <v>6</v>
      </c>
      <c r="E70" s="2" t="n">
        <v>69</v>
      </c>
      <c r="F70" s="10" t="s">
        <v>277</v>
      </c>
      <c r="G70" s="10" t="s">
        <v>274</v>
      </c>
    </row>
    <row r="71" customFormat="false" ht="15" hidden="false" customHeight="false" outlineLevel="0" collapsed="false">
      <c r="A71" s="2" t="s">
        <v>278</v>
      </c>
      <c r="B71" s="10" t="s">
        <v>275</v>
      </c>
      <c r="C71" s="10" t="s">
        <v>279</v>
      </c>
      <c r="D71" s="2" t="n">
        <v>4</v>
      </c>
      <c r="E71" s="2" t="n">
        <v>70</v>
      </c>
      <c r="F71" s="10" t="s">
        <v>277</v>
      </c>
      <c r="G71" s="10" t="s">
        <v>278</v>
      </c>
    </row>
    <row r="72" customFormat="false" ht="15" hidden="false" customHeight="false" outlineLevel="0" collapsed="false">
      <c r="A72" s="2" t="s">
        <v>280</v>
      </c>
      <c r="B72" s="10" t="s">
        <v>275</v>
      </c>
      <c r="C72" s="10" t="s">
        <v>281</v>
      </c>
      <c r="D72" s="2" t="n">
        <v>4</v>
      </c>
      <c r="E72" s="2" t="n">
        <v>71</v>
      </c>
      <c r="F72" s="10" t="s">
        <v>277</v>
      </c>
      <c r="G72" s="10" t="s">
        <v>280</v>
      </c>
    </row>
    <row r="73" customFormat="false" ht="15" hidden="false" customHeight="false" outlineLevel="0" collapsed="false">
      <c r="A73" s="2" t="s">
        <v>282</v>
      </c>
      <c r="B73" s="10" t="s">
        <v>283</v>
      </c>
      <c r="C73" s="10" t="s">
        <v>284</v>
      </c>
      <c r="D73" s="2" t="n">
        <v>2</v>
      </c>
      <c r="E73" s="2" t="n">
        <v>72</v>
      </c>
      <c r="F73" s="10" t="s">
        <v>285</v>
      </c>
      <c r="G73" s="10" t="s">
        <v>282</v>
      </c>
    </row>
    <row r="74" customFormat="false" ht="15" hidden="false" customHeight="false" outlineLevel="0" collapsed="false">
      <c r="A74" s="2" t="s">
        <v>286</v>
      </c>
      <c r="B74" s="10" t="s">
        <v>287</v>
      </c>
      <c r="C74" s="10" t="s">
        <v>177</v>
      </c>
      <c r="D74" s="2" t="n">
        <v>2</v>
      </c>
      <c r="E74" s="2" t="n">
        <v>73</v>
      </c>
      <c r="F74" s="10" t="s">
        <v>288</v>
      </c>
      <c r="G74" s="10" t="s">
        <v>286</v>
      </c>
    </row>
    <row r="75" customFormat="false" ht="15" hidden="false" customHeight="false" outlineLevel="0" collapsed="false">
      <c r="A75" s="2" t="s">
        <v>289</v>
      </c>
      <c r="B75" s="10" t="s">
        <v>287</v>
      </c>
      <c r="C75" s="10" t="s">
        <v>290</v>
      </c>
      <c r="D75" s="2" t="n">
        <v>9</v>
      </c>
      <c r="E75" s="2" t="n">
        <v>74</v>
      </c>
      <c r="F75" s="10" t="s">
        <v>288</v>
      </c>
      <c r="G75" s="10" t="s">
        <v>289</v>
      </c>
    </row>
    <row r="76" customFormat="false" ht="15" hidden="false" customHeight="false" outlineLevel="0" collapsed="false">
      <c r="A76" s="2" t="s">
        <v>291</v>
      </c>
      <c r="B76" s="10" t="s">
        <v>292</v>
      </c>
      <c r="C76" s="10" t="s">
        <v>293</v>
      </c>
      <c r="D76" s="2" t="n">
        <v>6</v>
      </c>
      <c r="E76" s="2" t="n">
        <v>75</v>
      </c>
      <c r="F76" s="10" t="s">
        <v>294</v>
      </c>
      <c r="G76" s="10" t="s">
        <v>291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8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2" activeCellId="0" sqref="C12"/>
    </sheetView>
  </sheetViews>
  <sheetFormatPr defaultColWidth="8.79296875" defaultRowHeight="15" zeroHeight="false" outlineLevelRow="0" outlineLevelCol="0"/>
  <cols>
    <col collapsed="false" customWidth="true" hidden="false" outlineLevel="0" max="1" min="1" style="2" width="11.14"/>
    <col collapsed="false" customWidth="true" hidden="false" outlineLevel="0" max="2" min="2" style="1" width="47.57"/>
    <col collapsed="false" customWidth="true" hidden="false" outlineLevel="0" max="3" min="3" style="1" width="11.42"/>
    <col collapsed="false" customWidth="true" hidden="false" outlineLevel="0" max="4" min="4" style="1" width="45.42"/>
  </cols>
  <sheetData>
    <row r="1" customFormat="false" ht="15" hidden="false" customHeight="false" outlineLevel="0" collapsed="false">
      <c r="A1" s="45" t="s">
        <v>295</v>
      </c>
      <c r="B1" s="10" t="s">
        <v>296</v>
      </c>
      <c r="C1" s="1" t="s">
        <v>297</v>
      </c>
    </row>
    <row r="2" customFormat="false" ht="15" hidden="false" customHeight="false" outlineLevel="0" collapsed="false">
      <c r="A2" s="2" t="n">
        <v>201</v>
      </c>
      <c r="B2" s="10" t="s">
        <v>298</v>
      </c>
      <c r="C2" s="1" t="n">
        <v>0</v>
      </c>
    </row>
    <row r="3" customFormat="false" ht="15" hidden="false" customHeight="false" outlineLevel="0" collapsed="false">
      <c r="A3" s="2" t="n">
        <v>202</v>
      </c>
      <c r="B3" s="10" t="s">
        <v>299</v>
      </c>
      <c r="C3" s="1" t="n">
        <v>0</v>
      </c>
    </row>
    <row r="4" customFormat="false" ht="15" hidden="false" customHeight="false" outlineLevel="0" collapsed="false">
      <c r="A4" s="2" t="n">
        <v>203</v>
      </c>
      <c r="B4" s="10" t="s">
        <v>300</v>
      </c>
      <c r="C4" s="1" t="n">
        <v>0</v>
      </c>
    </row>
    <row r="5" customFormat="false" ht="15" hidden="false" customHeight="false" outlineLevel="0" collapsed="false">
      <c r="A5" s="2" t="n">
        <v>204</v>
      </c>
      <c r="B5" s="10" t="s">
        <v>301</v>
      </c>
      <c r="C5" s="1" t="n">
        <v>0</v>
      </c>
    </row>
    <row r="6" customFormat="false" ht="15" hidden="false" customHeight="false" outlineLevel="0" collapsed="false">
      <c r="A6" s="2" t="n">
        <v>205</v>
      </c>
      <c r="B6" s="10" t="s">
        <v>302</v>
      </c>
      <c r="C6" s="1" t="n">
        <v>0</v>
      </c>
    </row>
    <row r="7" customFormat="false" ht="15" hidden="false" customHeight="false" outlineLevel="0" collapsed="false">
      <c r="A7" s="2" t="n">
        <v>206</v>
      </c>
      <c r="B7" s="10" t="s">
        <v>14</v>
      </c>
      <c r="C7" s="1" t="n">
        <v>0</v>
      </c>
    </row>
    <row r="8" customFormat="false" ht="15" hidden="false" customHeight="false" outlineLevel="0" collapsed="false">
      <c r="A8" s="2" t="n">
        <v>207</v>
      </c>
      <c r="B8" s="10" t="s">
        <v>303</v>
      </c>
      <c r="C8" s="1" t="n">
        <v>0</v>
      </c>
    </row>
    <row r="9" customFormat="false" ht="15" hidden="false" customHeight="false" outlineLevel="0" collapsed="false">
      <c r="A9" s="2" t="n">
        <v>301</v>
      </c>
      <c r="B9" s="10" t="s">
        <v>304</v>
      </c>
      <c r="C9" s="1" t="n">
        <v>0</v>
      </c>
    </row>
    <row r="10" customFormat="false" ht="15" hidden="false" customHeight="false" outlineLevel="0" collapsed="false">
      <c r="A10" s="2" t="n">
        <v>302</v>
      </c>
      <c r="B10" s="10" t="s">
        <v>305</v>
      </c>
      <c r="C10" s="1" t="n">
        <v>0</v>
      </c>
    </row>
    <row r="11" customFormat="false" ht="15" hidden="false" customHeight="false" outlineLevel="0" collapsed="false">
      <c r="A11" s="2" t="n">
        <v>303</v>
      </c>
      <c r="B11" s="10" t="s">
        <v>306</v>
      </c>
      <c r="C11" s="1" t="n">
        <v>0</v>
      </c>
    </row>
    <row r="12" customFormat="false" ht="15" hidden="false" customHeight="false" outlineLevel="0" collapsed="false">
      <c r="A12" s="2" t="n">
        <v>304</v>
      </c>
      <c r="B12" s="10" t="s">
        <v>307</v>
      </c>
      <c r="C12" s="1" t="n">
        <v>0</v>
      </c>
    </row>
    <row r="13" customFormat="false" ht="15" hidden="false" customHeight="false" outlineLevel="0" collapsed="false">
      <c r="A13" s="2" t="n">
        <v>305</v>
      </c>
      <c r="B13" s="10" t="s">
        <v>308</v>
      </c>
      <c r="C13" s="1" t="n">
        <v>0</v>
      </c>
    </row>
    <row r="14" customFormat="false" ht="15" hidden="false" customHeight="false" outlineLevel="0" collapsed="false">
      <c r="A14" s="2" t="n">
        <v>306</v>
      </c>
      <c r="B14" s="10" t="s">
        <v>309</v>
      </c>
      <c r="C14" s="1" t="n">
        <v>0</v>
      </c>
    </row>
    <row r="15" customFormat="false" ht="15" hidden="false" customHeight="false" outlineLevel="0" collapsed="false">
      <c r="A15" s="2" t="n">
        <v>307</v>
      </c>
      <c r="B15" s="10" t="s">
        <v>310</v>
      </c>
      <c r="C15" s="1" t="n">
        <v>0</v>
      </c>
    </row>
    <row r="16" customFormat="false" ht="15" hidden="false" customHeight="false" outlineLevel="0" collapsed="false">
      <c r="A16" s="2" t="n">
        <v>308</v>
      </c>
      <c r="B16" s="10" t="s">
        <v>311</v>
      </c>
      <c r="C16" s="1" t="n">
        <v>0</v>
      </c>
    </row>
    <row r="17" customFormat="false" ht="15" hidden="false" customHeight="false" outlineLevel="0" collapsed="false">
      <c r="A17" s="2" t="n">
        <v>309</v>
      </c>
      <c r="B17" s="10" t="s">
        <v>312</v>
      </c>
      <c r="C17" s="1" t="n">
        <v>0</v>
      </c>
    </row>
    <row r="18" customFormat="false" ht="15" hidden="false" customHeight="false" outlineLevel="0" collapsed="false">
      <c r="A18" s="2" t="n">
        <v>401</v>
      </c>
      <c r="B18" s="10" t="s">
        <v>12</v>
      </c>
      <c r="C18" s="1" t="n">
        <v>0</v>
      </c>
    </row>
    <row r="19" customFormat="false" ht="15" hidden="false" customHeight="false" outlineLevel="0" collapsed="false">
      <c r="A19" s="2" t="n">
        <v>402</v>
      </c>
      <c r="B19" s="10" t="s">
        <v>313</v>
      </c>
      <c r="C19" s="1" t="n">
        <v>0</v>
      </c>
    </row>
    <row r="20" customFormat="false" ht="15" hidden="false" customHeight="false" outlineLevel="0" collapsed="false">
      <c r="A20" s="2" t="n">
        <v>403</v>
      </c>
      <c r="B20" s="10" t="s">
        <v>314</v>
      </c>
      <c r="C20" s="1" t="n">
        <v>0</v>
      </c>
    </row>
    <row r="21" customFormat="false" ht="15" hidden="false" customHeight="false" outlineLevel="0" collapsed="false">
      <c r="A21" s="2" t="n">
        <v>404</v>
      </c>
      <c r="B21" s="10" t="s">
        <v>315</v>
      </c>
      <c r="C21" s="1" t="n">
        <v>0</v>
      </c>
    </row>
    <row r="22" customFormat="false" ht="15" hidden="false" customHeight="false" outlineLevel="0" collapsed="false">
      <c r="A22" s="2" t="n">
        <v>405</v>
      </c>
      <c r="B22" s="10" t="s">
        <v>316</v>
      </c>
      <c r="C22" s="1" t="n">
        <v>0</v>
      </c>
    </row>
    <row r="23" customFormat="false" ht="15" hidden="false" customHeight="false" outlineLevel="0" collapsed="false">
      <c r="A23" s="2" t="n">
        <v>406</v>
      </c>
      <c r="B23" s="10" t="s">
        <v>317</v>
      </c>
      <c r="C23" s="1" t="n">
        <v>0</v>
      </c>
    </row>
    <row r="24" customFormat="false" ht="15" hidden="false" customHeight="false" outlineLevel="0" collapsed="false">
      <c r="A24" s="2" t="n">
        <v>407</v>
      </c>
      <c r="B24" s="10" t="s">
        <v>318</v>
      </c>
      <c r="C24" s="1" t="n">
        <v>0</v>
      </c>
    </row>
    <row r="25" customFormat="false" ht="15" hidden="false" customHeight="false" outlineLevel="0" collapsed="false">
      <c r="A25" s="2" t="n">
        <v>408</v>
      </c>
      <c r="B25" s="10" t="s">
        <v>319</v>
      </c>
      <c r="C25" s="1" t="n">
        <v>0</v>
      </c>
    </row>
    <row r="26" customFormat="false" ht="15" hidden="false" customHeight="false" outlineLevel="0" collapsed="false">
      <c r="A26" s="2" t="n">
        <v>501</v>
      </c>
      <c r="B26" s="10" t="s">
        <v>320</v>
      </c>
      <c r="C26" s="1" t="n">
        <v>0</v>
      </c>
    </row>
    <row r="27" customFormat="false" ht="15" hidden="false" customHeight="false" outlineLevel="0" collapsed="false">
      <c r="A27" s="2" t="n">
        <v>502</v>
      </c>
      <c r="B27" s="10" t="s">
        <v>321</v>
      </c>
      <c r="C27" s="1" t="n">
        <v>0</v>
      </c>
    </row>
    <row r="28" customFormat="false" ht="15" hidden="false" customHeight="false" outlineLevel="0" collapsed="false">
      <c r="A28" s="2" t="n">
        <v>503</v>
      </c>
      <c r="B28" s="10" t="s">
        <v>322</v>
      </c>
      <c r="C28" s="1" t="n">
        <v>0</v>
      </c>
    </row>
    <row r="29" customFormat="false" ht="15" hidden="false" customHeight="false" outlineLevel="0" collapsed="false">
      <c r="A29" s="2" t="n">
        <v>504</v>
      </c>
      <c r="B29" s="10" t="s">
        <v>323</v>
      </c>
      <c r="C29" s="1" t="n">
        <v>0</v>
      </c>
    </row>
    <row r="30" customFormat="false" ht="15" hidden="false" customHeight="false" outlineLevel="0" collapsed="false">
      <c r="A30" s="2" t="n">
        <v>505</v>
      </c>
      <c r="B30" s="10" t="s">
        <v>324</v>
      </c>
      <c r="C30" s="1" t="n">
        <v>0</v>
      </c>
    </row>
    <row r="31" customFormat="false" ht="15" hidden="false" customHeight="false" outlineLevel="0" collapsed="false">
      <c r="A31" s="2" t="n">
        <v>506</v>
      </c>
      <c r="B31" s="10" t="s">
        <v>325</v>
      </c>
      <c r="C31" s="1" t="n">
        <v>0</v>
      </c>
    </row>
    <row r="32" customFormat="false" ht="15" hidden="false" customHeight="false" outlineLevel="0" collapsed="false">
      <c r="A32" s="2" t="n">
        <v>507</v>
      </c>
      <c r="B32" s="10" t="s">
        <v>326</v>
      </c>
      <c r="C32" s="1" t="n">
        <v>0</v>
      </c>
    </row>
    <row r="33" customFormat="false" ht="15" hidden="false" customHeight="false" outlineLevel="0" collapsed="false">
      <c r="A33" s="2" t="n">
        <v>508</v>
      </c>
      <c r="B33" s="10" t="s">
        <v>327</v>
      </c>
      <c r="C33" s="1" t="n">
        <v>0</v>
      </c>
    </row>
    <row r="34" customFormat="false" ht="15" hidden="false" customHeight="false" outlineLevel="0" collapsed="false">
      <c r="A34" s="2" t="n">
        <v>509</v>
      </c>
      <c r="B34" s="10" t="s">
        <v>328</v>
      </c>
      <c r="C34" s="1" t="n">
        <v>0</v>
      </c>
    </row>
    <row r="35" customFormat="false" ht="15" hidden="false" customHeight="false" outlineLevel="0" collapsed="false">
      <c r="A35" s="2" t="n">
        <v>510</v>
      </c>
      <c r="B35" s="10" t="s">
        <v>329</v>
      </c>
      <c r="C35" s="1" t="n">
        <v>0</v>
      </c>
    </row>
    <row r="36" customFormat="false" ht="15" hidden="false" customHeight="false" outlineLevel="0" collapsed="false">
      <c r="A36" s="2" t="n">
        <v>511</v>
      </c>
      <c r="B36" s="10" t="s">
        <v>330</v>
      </c>
      <c r="C36" s="1" t="n">
        <v>0</v>
      </c>
    </row>
    <row r="37" customFormat="false" ht="15" hidden="false" customHeight="false" outlineLevel="0" collapsed="false">
      <c r="A37" s="2" t="n">
        <v>512</v>
      </c>
      <c r="B37" s="10" t="s">
        <v>331</v>
      </c>
      <c r="C37" s="1" t="n">
        <v>0</v>
      </c>
    </row>
    <row r="38" customFormat="false" ht="15" hidden="false" customHeight="false" outlineLevel="0" collapsed="false">
      <c r="A38" s="2" t="n">
        <v>513</v>
      </c>
      <c r="B38" s="10" t="s">
        <v>332</v>
      </c>
      <c r="C38" s="1" t="n">
        <v>0</v>
      </c>
    </row>
    <row r="39" customFormat="false" ht="15" hidden="false" customHeight="false" outlineLevel="0" collapsed="false">
      <c r="A39" s="2" t="n">
        <v>514</v>
      </c>
      <c r="B39" s="10" t="s">
        <v>333</v>
      </c>
      <c r="C39" s="1" t="n">
        <v>0</v>
      </c>
    </row>
    <row r="40" customFormat="false" ht="15" hidden="false" customHeight="false" outlineLevel="0" collapsed="false">
      <c r="A40" s="2" t="n">
        <v>515</v>
      </c>
      <c r="B40" s="10" t="s">
        <v>334</v>
      </c>
      <c r="C40" s="1" t="n">
        <v>0</v>
      </c>
    </row>
    <row r="41" customFormat="false" ht="15" hidden="false" customHeight="false" outlineLevel="0" collapsed="false">
      <c r="A41" s="2" t="n">
        <v>516</v>
      </c>
      <c r="B41" s="10" t="s">
        <v>335</v>
      </c>
      <c r="C41" s="1" t="n">
        <v>0</v>
      </c>
    </row>
    <row r="42" customFormat="false" ht="15" hidden="false" customHeight="false" outlineLevel="0" collapsed="false">
      <c r="A42" s="2" t="n">
        <v>517</v>
      </c>
      <c r="B42" s="10" t="s">
        <v>336</v>
      </c>
      <c r="C42" s="1" t="n">
        <v>0</v>
      </c>
    </row>
    <row r="43" customFormat="false" ht="15" hidden="false" customHeight="false" outlineLevel="0" collapsed="false">
      <c r="A43" s="2" t="n">
        <v>518</v>
      </c>
      <c r="B43" s="10" t="s">
        <v>337</v>
      </c>
      <c r="C43" s="1" t="n">
        <v>0</v>
      </c>
    </row>
    <row r="44" customFormat="false" ht="15" hidden="false" customHeight="false" outlineLevel="0" collapsed="false">
      <c r="A44" s="2" t="n">
        <v>519</v>
      </c>
      <c r="B44" s="10" t="s">
        <v>338</v>
      </c>
      <c r="C44" s="1" t="n">
        <v>0</v>
      </c>
    </row>
    <row r="45" customFormat="false" ht="15" hidden="false" customHeight="false" outlineLevel="0" collapsed="false">
      <c r="A45" s="2" t="n">
        <v>601</v>
      </c>
      <c r="B45" s="10" t="s">
        <v>339</v>
      </c>
      <c r="C45" s="1" t="n">
        <v>0</v>
      </c>
    </row>
    <row r="46" customFormat="false" ht="15" hidden="false" customHeight="false" outlineLevel="0" collapsed="false">
      <c r="A46" s="2" t="n">
        <v>602</v>
      </c>
      <c r="B46" s="10" t="s">
        <v>340</v>
      </c>
      <c r="C46" s="1" t="n">
        <v>0</v>
      </c>
    </row>
    <row r="47" customFormat="false" ht="15" hidden="false" customHeight="false" outlineLevel="0" collapsed="false">
      <c r="A47" s="2" t="n">
        <v>603</v>
      </c>
      <c r="B47" s="10" t="s">
        <v>341</v>
      </c>
      <c r="C47" s="1" t="n">
        <v>0</v>
      </c>
    </row>
    <row r="48" customFormat="false" ht="15" hidden="false" customHeight="false" outlineLevel="0" collapsed="false">
      <c r="A48" s="2" t="n">
        <v>701</v>
      </c>
      <c r="B48" s="10" t="s">
        <v>342</v>
      </c>
      <c r="C48" s="1" t="n">
        <v>0</v>
      </c>
    </row>
    <row r="49" customFormat="false" ht="15" hidden="false" customHeight="false" outlineLevel="0" collapsed="false">
      <c r="A49" s="2" t="n">
        <v>702</v>
      </c>
      <c r="B49" s="10" t="s">
        <v>343</v>
      </c>
      <c r="C49" s="1" t="n">
        <v>0</v>
      </c>
    </row>
    <row r="50" customFormat="false" ht="15" hidden="false" customHeight="false" outlineLevel="0" collapsed="false">
      <c r="A50" s="2" t="n">
        <v>703</v>
      </c>
      <c r="B50" s="10" t="s">
        <v>344</v>
      </c>
      <c r="C50" s="1" t="n">
        <v>0</v>
      </c>
    </row>
    <row r="51" customFormat="false" ht="15" hidden="false" customHeight="false" outlineLevel="0" collapsed="false">
      <c r="A51" s="2" t="n">
        <v>704</v>
      </c>
      <c r="B51" s="10" t="s">
        <v>345</v>
      </c>
      <c r="C51" s="1" t="n">
        <v>0</v>
      </c>
    </row>
    <row r="52" customFormat="false" ht="15" hidden="false" customHeight="false" outlineLevel="0" collapsed="false">
      <c r="A52" s="2" t="n">
        <v>705</v>
      </c>
      <c r="B52" s="10" t="s">
        <v>346</v>
      </c>
      <c r="C52" s="1" t="n">
        <v>0</v>
      </c>
    </row>
    <row r="53" customFormat="false" ht="15" hidden="false" customHeight="false" outlineLevel="0" collapsed="false">
      <c r="A53" s="2" t="n">
        <v>801</v>
      </c>
      <c r="B53" s="10" t="s">
        <v>347</v>
      </c>
      <c r="C53" s="1" t="n">
        <v>0</v>
      </c>
    </row>
    <row r="54" customFormat="false" ht="15" hidden="false" customHeight="false" outlineLevel="0" collapsed="false">
      <c r="A54" s="2" t="n">
        <v>802</v>
      </c>
      <c r="B54" s="10" t="s">
        <v>348</v>
      </c>
      <c r="C54" s="1" t="n">
        <v>0</v>
      </c>
    </row>
    <row r="55" customFormat="false" ht="15" hidden="false" customHeight="false" outlineLevel="0" collapsed="false">
      <c r="A55" s="2" t="n">
        <v>803</v>
      </c>
      <c r="B55" s="10" t="s">
        <v>349</v>
      </c>
      <c r="C55" s="1" t="n">
        <v>0</v>
      </c>
    </row>
    <row r="56" customFormat="false" ht="15" hidden="false" customHeight="false" outlineLevel="0" collapsed="false">
      <c r="A56" s="2" t="n">
        <v>804</v>
      </c>
      <c r="B56" s="10" t="s">
        <v>350</v>
      </c>
      <c r="C56" s="1" t="n">
        <v>0</v>
      </c>
    </row>
    <row r="57" customFormat="false" ht="15" hidden="false" customHeight="false" outlineLevel="0" collapsed="false">
      <c r="A57" s="2" t="n">
        <v>805</v>
      </c>
      <c r="B57" s="10" t="s">
        <v>351</v>
      </c>
      <c r="C57" s="1" t="n">
        <v>0</v>
      </c>
    </row>
    <row r="58" customFormat="false" ht="15" hidden="false" customHeight="false" outlineLevel="0" collapsed="false">
      <c r="A58" s="2" t="n">
        <v>806</v>
      </c>
      <c r="B58" s="10" t="s">
        <v>352</v>
      </c>
      <c r="C58" s="1" t="n">
        <v>0</v>
      </c>
    </row>
    <row r="59" customFormat="false" ht="15" hidden="false" customHeight="false" outlineLevel="0" collapsed="false">
      <c r="A59" s="2" t="n">
        <v>807</v>
      </c>
      <c r="B59" s="10" t="s">
        <v>353</v>
      </c>
      <c r="C59" s="1" t="n">
        <v>0</v>
      </c>
    </row>
    <row r="60" customFormat="false" ht="15" hidden="false" customHeight="false" outlineLevel="0" collapsed="false">
      <c r="A60" s="2" t="n">
        <v>808</v>
      </c>
      <c r="B60" s="10" t="s">
        <v>354</v>
      </c>
      <c r="C60" s="1" t="n">
        <v>0</v>
      </c>
    </row>
    <row r="61" customFormat="false" ht="15" hidden="false" customHeight="false" outlineLevel="0" collapsed="false">
      <c r="A61" s="2" t="n">
        <v>809</v>
      </c>
      <c r="B61" s="10" t="s">
        <v>355</v>
      </c>
      <c r="C61" s="1" t="n">
        <v>0</v>
      </c>
    </row>
    <row r="62" customFormat="false" ht="15" hidden="false" customHeight="false" outlineLevel="0" collapsed="false">
      <c r="A62" s="2" t="n">
        <v>810</v>
      </c>
      <c r="B62" s="10" t="s">
        <v>356</v>
      </c>
      <c r="C62" s="1" t="n">
        <v>0</v>
      </c>
    </row>
    <row r="63" customFormat="false" ht="15" hidden="false" customHeight="false" outlineLevel="0" collapsed="false">
      <c r="A63" s="2" t="n">
        <v>811</v>
      </c>
      <c r="B63" s="10" t="s">
        <v>357</v>
      </c>
      <c r="C63" s="1" t="n">
        <v>0</v>
      </c>
    </row>
    <row r="64" customFormat="false" ht="15" hidden="false" customHeight="false" outlineLevel="0" collapsed="false">
      <c r="A64" s="2" t="n">
        <v>812</v>
      </c>
      <c r="B64" s="10" t="s">
        <v>358</v>
      </c>
      <c r="C64" s="1" t="n">
        <v>0</v>
      </c>
    </row>
    <row r="65" customFormat="false" ht="15" hidden="false" customHeight="false" outlineLevel="0" collapsed="false">
      <c r="A65" s="2" t="n">
        <v>813</v>
      </c>
      <c r="B65" s="10" t="s">
        <v>359</v>
      </c>
      <c r="C65" s="1" t="n">
        <v>0</v>
      </c>
    </row>
    <row r="66" customFormat="false" ht="15" hidden="false" customHeight="false" outlineLevel="0" collapsed="false">
      <c r="A66" s="2" t="n">
        <v>814</v>
      </c>
      <c r="B66" s="10" t="s">
        <v>360</v>
      </c>
      <c r="C66" s="1" t="n">
        <v>0</v>
      </c>
    </row>
    <row r="67" customFormat="false" ht="15" hidden="false" customHeight="false" outlineLevel="0" collapsed="false">
      <c r="A67" s="2" t="n">
        <v>815</v>
      </c>
      <c r="B67" s="10" t="s">
        <v>361</v>
      </c>
      <c r="C67" s="1" t="n">
        <v>0</v>
      </c>
    </row>
    <row r="68" customFormat="false" ht="15" hidden="false" customHeight="false" outlineLevel="0" collapsed="false">
      <c r="A68" s="2" t="n">
        <v>816</v>
      </c>
      <c r="B68" s="10" t="s">
        <v>362</v>
      </c>
      <c r="C68" s="1" t="n">
        <v>0</v>
      </c>
    </row>
    <row r="69" customFormat="false" ht="15" hidden="false" customHeight="false" outlineLevel="0" collapsed="false">
      <c r="A69" s="2" t="n">
        <v>817</v>
      </c>
      <c r="B69" s="10" t="s">
        <v>363</v>
      </c>
      <c r="C69" s="1" t="n">
        <v>0</v>
      </c>
    </row>
    <row r="70" customFormat="false" ht="15" hidden="false" customHeight="false" outlineLevel="0" collapsed="false">
      <c r="A70" s="2" t="n">
        <v>901</v>
      </c>
      <c r="B70" s="10" t="s">
        <v>13</v>
      </c>
      <c r="C70" s="1" t="n">
        <v>35</v>
      </c>
    </row>
    <row r="71" customFormat="false" ht="15" hidden="false" customHeight="false" outlineLevel="0" collapsed="false">
      <c r="A71" s="2" t="n">
        <v>902</v>
      </c>
      <c r="B71" s="10" t="s">
        <v>13</v>
      </c>
      <c r="C71" s="1" t="n">
        <v>35</v>
      </c>
    </row>
    <row r="72" customFormat="false" ht="15" hidden="false" customHeight="false" outlineLevel="0" collapsed="false">
      <c r="A72" s="2" t="n">
        <v>903</v>
      </c>
      <c r="B72" s="10" t="s">
        <v>13</v>
      </c>
      <c r="C72" s="1" t="n">
        <v>35</v>
      </c>
    </row>
    <row r="73" customFormat="false" ht="15" hidden="false" customHeight="false" outlineLevel="0" collapsed="false">
      <c r="A73" s="2" t="n">
        <v>904</v>
      </c>
      <c r="B73" s="10" t="s">
        <v>13</v>
      </c>
      <c r="C73" s="1" t="n">
        <v>35</v>
      </c>
    </row>
    <row r="74" customFormat="false" ht="15" hidden="false" customHeight="false" outlineLevel="0" collapsed="false">
      <c r="A74" s="2" t="n">
        <v>905</v>
      </c>
      <c r="B74" s="10" t="s">
        <v>13</v>
      </c>
      <c r="C74" s="1" t="n">
        <v>35</v>
      </c>
    </row>
    <row r="75" customFormat="false" ht="15" hidden="false" customHeight="false" outlineLevel="0" collapsed="false">
      <c r="A75" s="2" t="n">
        <v>906</v>
      </c>
      <c r="B75" s="10" t="s">
        <v>13</v>
      </c>
      <c r="C75" s="1" t="n">
        <v>35</v>
      </c>
    </row>
    <row r="76" customFormat="false" ht="15" hidden="false" customHeight="false" outlineLevel="0" collapsed="false">
      <c r="A76" s="2" t="n">
        <v>907</v>
      </c>
      <c r="B76" s="10" t="s">
        <v>13</v>
      </c>
      <c r="C76" s="1" t="n">
        <v>35</v>
      </c>
    </row>
    <row r="77" customFormat="false" ht="15" hidden="false" customHeight="false" outlineLevel="0" collapsed="false">
      <c r="A77" s="2" t="n">
        <v>908</v>
      </c>
      <c r="B77" s="10" t="s">
        <v>13</v>
      </c>
      <c r="C77" s="1" t="n">
        <v>35</v>
      </c>
    </row>
    <row r="78" customFormat="false" ht="15" hidden="false" customHeight="false" outlineLevel="0" collapsed="false">
      <c r="A78" s="2" t="n">
        <v>909</v>
      </c>
      <c r="B78" s="10" t="s">
        <v>13</v>
      </c>
      <c r="C78" s="1" t="n">
        <v>35</v>
      </c>
    </row>
    <row r="79" customFormat="false" ht="15" hidden="false" customHeight="false" outlineLevel="0" collapsed="false">
      <c r="A79" s="2" t="n">
        <v>910</v>
      </c>
      <c r="B79" s="10" t="s">
        <v>13</v>
      </c>
      <c r="C79" s="1" t="n">
        <v>35</v>
      </c>
    </row>
    <row r="80" customFormat="false" ht="15" hidden="false" customHeight="false" outlineLevel="0" collapsed="false">
      <c r="A80" s="2" t="n">
        <v>911</v>
      </c>
      <c r="B80" s="10" t="s">
        <v>13</v>
      </c>
      <c r="C80" s="1" t="n">
        <v>35</v>
      </c>
    </row>
    <row r="81" customFormat="false" ht="15" hidden="false" customHeight="false" outlineLevel="0" collapsed="false">
      <c r="A81" s="2" t="n">
        <v>912</v>
      </c>
      <c r="B81" s="10" t="s">
        <v>13</v>
      </c>
      <c r="C81" s="1" t="n">
        <v>35</v>
      </c>
    </row>
    <row r="82" customFormat="false" ht="15" hidden="false" customHeight="false" outlineLevel="0" collapsed="false">
      <c r="A82" s="2" t="n">
        <v>913</v>
      </c>
      <c r="B82" s="10" t="s">
        <v>13</v>
      </c>
      <c r="C82" s="1" t="n">
        <v>35</v>
      </c>
    </row>
    <row r="83" customFormat="false" ht="15" hidden="false" customHeight="false" outlineLevel="0" collapsed="false">
      <c r="A83" s="2" t="n">
        <v>914</v>
      </c>
      <c r="B83" s="10" t="s">
        <v>13</v>
      </c>
      <c r="C83" s="1" t="n">
        <v>35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K1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21" activeCellId="0" sqref="A121"/>
    </sheetView>
  </sheetViews>
  <sheetFormatPr defaultColWidth="8.79296875" defaultRowHeight="15" zeroHeight="false" outlineLevelRow="0" outlineLevelCol="0"/>
  <cols>
    <col collapsed="false" customWidth="true" hidden="false" outlineLevel="0" max="11" min="1" style="1" width="10.72"/>
  </cols>
  <sheetData>
    <row r="1" customFormat="false" ht="34.5" hidden="false" customHeight="true" outlineLevel="0" collapsed="false">
      <c r="A1" s="46"/>
      <c r="B1" s="47"/>
      <c r="C1" s="47"/>
      <c r="D1" s="48"/>
      <c r="E1" s="46"/>
      <c r="F1" s="47"/>
      <c r="G1" s="47"/>
      <c r="H1" s="48"/>
      <c r="I1" s="46"/>
      <c r="J1" s="47"/>
      <c r="K1" s="47"/>
    </row>
    <row r="2" customFormat="false" ht="15" hidden="false" customHeight="false" outlineLevel="0" collapsed="false">
      <c r="A2" s="49" t="s">
        <v>364</v>
      </c>
      <c r="B2" s="50" t="str">
        <f aca="false">Guests!A2</f>
        <v>Stephanie Abbinanti</v>
      </c>
      <c r="C2" s="50"/>
      <c r="D2" s="51"/>
      <c r="E2" s="49" t="s">
        <v>364</v>
      </c>
      <c r="F2" s="50" t="str">
        <f aca="false">Guests!A12</f>
        <v>Tess Dennis</v>
      </c>
      <c r="G2" s="50"/>
      <c r="H2" s="51"/>
      <c r="I2" s="49" t="s">
        <v>364</v>
      </c>
      <c r="J2" s="50" t="str">
        <f aca="false">Guests!A22</f>
        <v>Steven Goldstein</v>
      </c>
      <c r="K2" s="50"/>
    </row>
    <row r="3" customFormat="false" ht="15" hidden="false" customHeight="true" outlineLevel="0" collapsed="false">
      <c r="A3" s="52" t="n">
        <f aca="false">VLOOKUP(B2,Guests[],4,0)</f>
        <v>5</v>
      </c>
      <c r="B3" s="47"/>
      <c r="C3" s="47"/>
      <c r="D3" s="48"/>
      <c r="E3" s="52" t="n">
        <f aca="false">VLOOKUP(F2,Guests[],4,0)</f>
        <v>2</v>
      </c>
      <c r="F3" s="47"/>
      <c r="G3" s="47"/>
      <c r="H3" s="48"/>
      <c r="I3" s="52" t="n">
        <f aca="false">VLOOKUP(J2,Guests[],4,0)</f>
        <v>9</v>
      </c>
      <c r="J3" s="47"/>
      <c r="K3" s="47"/>
    </row>
    <row r="4" customFormat="false" ht="15" hidden="false" customHeight="true" outlineLevel="0" collapsed="false">
      <c r="A4" s="52"/>
      <c r="B4" s="53" t="s">
        <v>49</v>
      </c>
      <c r="C4" s="53" t="n">
        <f aca="false">VLOOKUP(B2,Guests[],5,0)</f>
        <v>1</v>
      </c>
      <c r="D4" s="51"/>
      <c r="E4" s="52"/>
      <c r="F4" s="53" t="s">
        <v>49</v>
      </c>
      <c r="G4" s="53" t="n">
        <f aca="false">VLOOKUP(F2,Guests[],5,0)</f>
        <v>11</v>
      </c>
      <c r="H4" s="51"/>
      <c r="I4" s="52"/>
      <c r="J4" s="53" t="s">
        <v>49</v>
      </c>
      <c r="K4" s="53" t="n">
        <f aca="false">VLOOKUP(J2,Guests[],5,0)</f>
        <v>21</v>
      </c>
    </row>
    <row r="5" customFormat="false" ht="34.5" hidden="false" customHeight="true" outlineLevel="0" collapsed="false">
      <c r="A5" s="46"/>
      <c r="B5" s="47"/>
      <c r="C5" s="47"/>
      <c r="D5" s="48"/>
      <c r="E5" s="46"/>
      <c r="F5" s="47"/>
      <c r="G5" s="47"/>
      <c r="H5" s="48"/>
      <c r="I5" s="46"/>
      <c r="J5" s="47"/>
      <c r="K5" s="47"/>
    </row>
    <row r="6" customFormat="false" ht="15" hidden="false" customHeight="false" outlineLevel="0" collapsed="false">
      <c r="A6" s="49" t="s">
        <v>364</v>
      </c>
      <c r="B6" s="50" t="str">
        <f aca="false">Guests!A3</f>
        <v>John Abbinanti</v>
      </c>
      <c r="C6" s="50"/>
      <c r="D6" s="51"/>
      <c r="E6" s="49" t="s">
        <v>364</v>
      </c>
      <c r="F6" s="50" t="str">
        <f aca="false">Guests!A13</f>
        <v>Marcos Dinnerstein</v>
      </c>
      <c r="G6" s="50"/>
      <c r="H6" s="51"/>
      <c r="I6" s="49" t="s">
        <v>364</v>
      </c>
      <c r="J6" s="50" t="str">
        <f aca="false">Guests!A23</f>
        <v>Peter Gross</v>
      </c>
      <c r="K6" s="50"/>
    </row>
    <row r="7" customFormat="false" ht="15" hidden="false" customHeight="true" outlineLevel="0" collapsed="false">
      <c r="A7" s="52" t="n">
        <f aca="false">VLOOKUP(B6,Guests[],4,0)</f>
        <v>5</v>
      </c>
      <c r="B7" s="47"/>
      <c r="C7" s="47"/>
      <c r="D7" s="48"/>
      <c r="E7" s="52" t="n">
        <f aca="false">VLOOKUP(F6,Guests[],4,0)</f>
        <v>3</v>
      </c>
      <c r="F7" s="47"/>
      <c r="G7" s="47"/>
      <c r="H7" s="48"/>
      <c r="I7" s="52" t="n">
        <f aca="false">VLOOKUP(J6,Guests[],4,0)</f>
        <v>2</v>
      </c>
      <c r="J7" s="47"/>
      <c r="K7" s="47"/>
    </row>
    <row r="8" customFormat="false" ht="15" hidden="false" customHeight="true" outlineLevel="0" collapsed="false">
      <c r="A8" s="52"/>
      <c r="B8" s="53" t="s">
        <v>49</v>
      </c>
      <c r="C8" s="53" t="n">
        <f aca="false">VLOOKUP(B6,Guests[],5,0)</f>
        <v>2</v>
      </c>
      <c r="D8" s="51"/>
      <c r="E8" s="52"/>
      <c r="F8" s="53" t="s">
        <v>49</v>
      </c>
      <c r="G8" s="53" t="n">
        <f aca="false">VLOOKUP(F6,Guests[],5,0)</f>
        <v>12</v>
      </c>
      <c r="H8" s="51"/>
      <c r="I8" s="52"/>
      <c r="J8" s="53" t="s">
        <v>49</v>
      </c>
      <c r="K8" s="53" t="n">
        <f aca="false">VLOOKUP(J6,Guests[],5,0)</f>
        <v>22</v>
      </c>
    </row>
    <row r="9" customFormat="false" ht="34.5" hidden="false" customHeight="true" outlineLevel="0" collapsed="false">
      <c r="A9" s="46"/>
      <c r="B9" s="47"/>
      <c r="C9" s="47"/>
      <c r="D9" s="48"/>
      <c r="E9" s="46"/>
      <c r="F9" s="47"/>
      <c r="G9" s="47"/>
      <c r="H9" s="48"/>
      <c r="I9" s="46"/>
      <c r="J9" s="47"/>
      <c r="K9" s="47"/>
    </row>
    <row r="10" customFormat="false" ht="15" hidden="false" customHeight="false" outlineLevel="0" collapsed="false">
      <c r="A10" s="49" t="s">
        <v>364</v>
      </c>
      <c r="B10" s="50" t="str">
        <f aca="false">Guests!A4</f>
        <v>Tina Bardsley</v>
      </c>
      <c r="C10" s="50"/>
      <c r="D10" s="51"/>
      <c r="E10" s="49" t="s">
        <v>364</v>
      </c>
      <c r="F10" s="50" t="str">
        <f aca="false">Guests!A14</f>
        <v>Julia Douglas</v>
      </c>
      <c r="G10" s="50"/>
      <c r="H10" s="51"/>
      <c r="I10" s="49" t="s">
        <v>364</v>
      </c>
      <c r="J10" s="50" t="str">
        <f aca="false">Guests!A24</f>
        <v>Mother Lynn Harrington</v>
      </c>
      <c r="K10" s="50"/>
    </row>
    <row r="11" customFormat="false" ht="15" hidden="false" customHeight="true" outlineLevel="0" collapsed="false">
      <c r="A11" s="52" t="n">
        <f aca="false">VLOOKUP(B10,Guests[],4,0)</f>
        <v>9</v>
      </c>
      <c r="B11" s="47"/>
      <c r="C11" s="47"/>
      <c r="D11" s="48"/>
      <c r="E11" s="52" t="n">
        <f aca="false">VLOOKUP(F10,Guests[],4,0)</f>
        <v>1</v>
      </c>
      <c r="F11" s="47"/>
      <c r="G11" s="47"/>
      <c r="H11" s="48"/>
      <c r="I11" s="52" t="n">
        <f aca="false">VLOOKUP(J10,Guests[],4,0)</f>
        <v>4</v>
      </c>
      <c r="J11" s="47"/>
      <c r="K11" s="47"/>
    </row>
    <row r="12" customFormat="false" ht="15" hidden="false" customHeight="true" outlineLevel="0" collapsed="false">
      <c r="A12" s="52"/>
      <c r="B12" s="53" t="s">
        <v>49</v>
      </c>
      <c r="C12" s="53" t="n">
        <f aca="false">VLOOKUP(B10,Guests[],5,0)</f>
        <v>3</v>
      </c>
      <c r="D12" s="51"/>
      <c r="E12" s="52"/>
      <c r="F12" s="53" t="s">
        <v>49</v>
      </c>
      <c r="G12" s="53" t="n">
        <f aca="false">VLOOKUP(F10,Guests[],5,0)</f>
        <v>13</v>
      </c>
      <c r="H12" s="51"/>
      <c r="I12" s="52"/>
      <c r="J12" s="53" t="s">
        <v>49</v>
      </c>
      <c r="K12" s="53" t="n">
        <f aca="false">VLOOKUP(J10,Guests[],5,0)</f>
        <v>23</v>
      </c>
    </row>
    <row r="13" customFormat="false" ht="34.5" hidden="false" customHeight="true" outlineLevel="0" collapsed="false">
      <c r="A13" s="46"/>
      <c r="B13" s="47"/>
      <c r="C13" s="47"/>
      <c r="D13" s="48"/>
      <c r="E13" s="46"/>
      <c r="F13" s="47"/>
      <c r="G13" s="47"/>
      <c r="H13" s="48"/>
      <c r="I13" s="46"/>
      <c r="J13" s="47"/>
      <c r="K13" s="47"/>
    </row>
    <row r="14" customFormat="false" ht="15" hidden="false" customHeight="false" outlineLevel="0" collapsed="false">
      <c r="A14" s="49" t="s">
        <v>364</v>
      </c>
      <c r="B14" s="50" t="str">
        <f aca="false">Guests!A5</f>
        <v>Sydney Bardsley</v>
      </c>
      <c r="C14" s="50"/>
      <c r="D14" s="51"/>
      <c r="E14" s="49" t="s">
        <v>364</v>
      </c>
      <c r="F14" s="50" t="str">
        <f aca="false">Guests!A15</f>
        <v>Elaine Feldman</v>
      </c>
      <c r="G14" s="50"/>
      <c r="H14" s="51"/>
      <c r="I14" s="49" t="s">
        <v>364</v>
      </c>
      <c r="J14" s="50" t="str">
        <f aca="false">Guests!A25</f>
        <v>Dennis Harrington</v>
      </c>
      <c r="K14" s="50"/>
    </row>
    <row r="15" customFormat="false" ht="15" hidden="false" customHeight="true" outlineLevel="0" collapsed="false">
      <c r="A15" s="52" t="n">
        <f aca="false">VLOOKUP(B14,Guests[],4,0)</f>
        <v>9</v>
      </c>
      <c r="B15" s="47"/>
      <c r="C15" s="47"/>
      <c r="D15" s="48"/>
      <c r="E15" s="52" t="n">
        <f aca="false">VLOOKUP(F14,Guests[],4,0)</f>
        <v>5</v>
      </c>
      <c r="F15" s="47"/>
      <c r="G15" s="47"/>
      <c r="H15" s="48"/>
      <c r="I15" s="52" t="n">
        <f aca="false">VLOOKUP(J14,Guests[],4,0)</f>
        <v>4</v>
      </c>
      <c r="J15" s="47"/>
      <c r="K15" s="47"/>
    </row>
    <row r="16" customFormat="false" ht="15" hidden="false" customHeight="true" outlineLevel="0" collapsed="false">
      <c r="A16" s="52"/>
      <c r="B16" s="53" t="s">
        <v>49</v>
      </c>
      <c r="C16" s="53" t="n">
        <f aca="false">VLOOKUP(B14,Guests[],5,0)</f>
        <v>4</v>
      </c>
      <c r="D16" s="51"/>
      <c r="E16" s="52"/>
      <c r="F16" s="53" t="s">
        <v>49</v>
      </c>
      <c r="G16" s="53" t="n">
        <f aca="false">VLOOKUP(F14,Guests[],5,0)</f>
        <v>14</v>
      </c>
      <c r="H16" s="51"/>
      <c r="I16" s="52"/>
      <c r="J16" s="53" t="s">
        <v>49</v>
      </c>
      <c r="K16" s="53" t="n">
        <f aca="false">VLOOKUP(J14,Guests[],5,0)</f>
        <v>24</v>
      </c>
    </row>
    <row r="17" customFormat="false" ht="34.5" hidden="false" customHeight="true" outlineLevel="0" collapsed="false">
      <c r="A17" s="46"/>
      <c r="B17" s="47"/>
      <c r="C17" s="47"/>
      <c r="D17" s="48"/>
      <c r="E17" s="46"/>
      <c r="F17" s="47"/>
      <c r="G17" s="47"/>
      <c r="H17" s="48"/>
      <c r="I17" s="46"/>
      <c r="J17" s="47"/>
      <c r="K17" s="47"/>
    </row>
    <row r="18" customFormat="false" ht="15" hidden="false" customHeight="false" outlineLevel="0" collapsed="false">
      <c r="A18" s="49" t="s">
        <v>364</v>
      </c>
      <c r="B18" s="50" t="str">
        <f aca="false">Guests!A6</f>
        <v>Nellie Beavers</v>
      </c>
      <c r="C18" s="50"/>
      <c r="D18" s="51"/>
      <c r="E18" s="49" t="s">
        <v>364</v>
      </c>
      <c r="F18" s="50" t="str">
        <f aca="false">Guests!A16</f>
        <v>Megan Feldman</v>
      </c>
      <c r="G18" s="50"/>
      <c r="H18" s="51"/>
      <c r="I18" s="49" t="s">
        <v>364</v>
      </c>
      <c r="J18" s="50" t="str">
        <f aca="false">Guests!A26</f>
        <v>Kate Herland</v>
      </c>
      <c r="K18" s="50"/>
    </row>
    <row r="19" customFormat="false" ht="15" hidden="false" customHeight="true" outlineLevel="0" collapsed="false">
      <c r="A19" s="52" t="n">
        <f aca="false">VLOOKUP(B18,Guests[],4,0)</f>
        <v>7</v>
      </c>
      <c r="B19" s="47"/>
      <c r="C19" s="47"/>
      <c r="D19" s="48"/>
      <c r="E19" s="52" t="n">
        <f aca="false">VLOOKUP(F18,Guests[],4,0)</f>
        <v>5</v>
      </c>
      <c r="F19" s="47"/>
      <c r="G19" s="47"/>
      <c r="H19" s="48"/>
      <c r="I19" s="52" t="n">
        <f aca="false">VLOOKUP(J18,Guests[],4,0)</f>
        <v>7</v>
      </c>
      <c r="J19" s="47"/>
      <c r="K19" s="47"/>
    </row>
    <row r="20" customFormat="false" ht="15" hidden="false" customHeight="true" outlineLevel="0" collapsed="false">
      <c r="A20" s="52"/>
      <c r="B20" s="53" t="s">
        <v>49</v>
      </c>
      <c r="C20" s="53" t="n">
        <f aca="false">VLOOKUP(B18,Guests[],5,0)</f>
        <v>5</v>
      </c>
      <c r="D20" s="51"/>
      <c r="E20" s="52"/>
      <c r="F20" s="53" t="s">
        <v>49</v>
      </c>
      <c r="G20" s="53" t="n">
        <f aca="false">VLOOKUP(F18,Guests[],5,0)</f>
        <v>15</v>
      </c>
      <c r="H20" s="51"/>
      <c r="I20" s="52"/>
      <c r="J20" s="53" t="s">
        <v>49</v>
      </c>
      <c r="K20" s="53" t="n">
        <f aca="false">VLOOKUP(J18,Guests[],5,0)</f>
        <v>25</v>
      </c>
    </row>
    <row r="21" customFormat="false" ht="34.5" hidden="false" customHeight="true" outlineLevel="0" collapsed="false">
      <c r="A21" s="46"/>
      <c r="B21" s="47"/>
      <c r="C21" s="47"/>
      <c r="D21" s="48"/>
      <c r="E21" s="46"/>
      <c r="F21" s="47"/>
      <c r="G21" s="47"/>
      <c r="H21" s="48"/>
      <c r="I21" s="46"/>
      <c r="J21" s="47"/>
      <c r="K21" s="47"/>
    </row>
    <row r="22" customFormat="false" ht="15" hidden="false" customHeight="false" outlineLevel="0" collapsed="false">
      <c r="A22" s="49" t="s">
        <v>364</v>
      </c>
      <c r="B22" s="50" t="str">
        <f aca="false">Guests!A7</f>
        <v>Joanie Betz</v>
      </c>
      <c r="C22" s="50"/>
      <c r="D22" s="51"/>
      <c r="E22" s="49" t="s">
        <v>364</v>
      </c>
      <c r="F22" s="50" t="str">
        <f aca="false">Guests!A17</f>
        <v>Dan Feldman</v>
      </c>
      <c r="G22" s="50"/>
      <c r="H22" s="51"/>
      <c r="I22" s="49" t="s">
        <v>364</v>
      </c>
      <c r="J22" s="50" t="str">
        <f aca="false">Guests!A27</f>
        <v>Chloe Holgate</v>
      </c>
      <c r="K22" s="50"/>
    </row>
    <row r="23" customFormat="false" ht="15" hidden="false" customHeight="true" outlineLevel="0" collapsed="false">
      <c r="A23" s="52" t="n">
        <f aca="false">VLOOKUP(B22,Guests[],4,0)</f>
        <v>7</v>
      </c>
      <c r="B23" s="47"/>
      <c r="C23" s="47"/>
      <c r="D23" s="48"/>
      <c r="E23" s="52" t="n">
        <f aca="false">VLOOKUP(F22,Guests[],4,0)</f>
        <v>5</v>
      </c>
      <c r="F23" s="47"/>
      <c r="G23" s="47"/>
      <c r="H23" s="48"/>
      <c r="I23" s="52" t="n">
        <f aca="false">VLOOKUP(J22,Guests[],4,0)</f>
        <v>3</v>
      </c>
      <c r="J23" s="47"/>
      <c r="K23" s="47"/>
    </row>
    <row r="24" customFormat="false" ht="15" hidden="false" customHeight="true" outlineLevel="0" collapsed="false">
      <c r="A24" s="52"/>
      <c r="B24" s="53" t="s">
        <v>49</v>
      </c>
      <c r="C24" s="53" t="n">
        <f aca="false">VLOOKUP(B22,Guests[],5,0)</f>
        <v>6</v>
      </c>
      <c r="D24" s="51"/>
      <c r="E24" s="52"/>
      <c r="F24" s="53" t="s">
        <v>49</v>
      </c>
      <c r="G24" s="53" t="n">
        <f aca="false">VLOOKUP(F22,Guests[],5,0)</f>
        <v>16</v>
      </c>
      <c r="H24" s="51"/>
      <c r="I24" s="52"/>
      <c r="J24" s="53" t="s">
        <v>49</v>
      </c>
      <c r="K24" s="53" t="n">
        <f aca="false">VLOOKUP(J22,Guests[],5,0)</f>
        <v>26</v>
      </c>
    </row>
    <row r="25" customFormat="false" ht="34.5" hidden="false" customHeight="true" outlineLevel="0" collapsed="false">
      <c r="A25" s="46"/>
      <c r="B25" s="47"/>
      <c r="C25" s="47"/>
      <c r="D25" s="48"/>
      <c r="E25" s="46"/>
      <c r="F25" s="47"/>
      <c r="G25" s="47"/>
      <c r="H25" s="48"/>
      <c r="I25" s="46"/>
      <c r="J25" s="47"/>
      <c r="K25" s="47"/>
    </row>
    <row r="26" customFormat="false" ht="15" hidden="false" customHeight="false" outlineLevel="0" collapsed="false">
      <c r="A26" s="54" t="s">
        <v>364</v>
      </c>
      <c r="B26" s="50" t="str">
        <f aca="false">Guests!A8</f>
        <v>Eric Brenner</v>
      </c>
      <c r="C26" s="50"/>
      <c r="D26" s="53"/>
      <c r="E26" s="54" t="s">
        <v>364</v>
      </c>
      <c r="F26" s="50" t="str">
        <f aca="false">Guests!A18</f>
        <v>Stuart Feldman</v>
      </c>
      <c r="G26" s="50"/>
      <c r="H26" s="53"/>
      <c r="I26" s="54" t="s">
        <v>364</v>
      </c>
      <c r="J26" s="50" t="str">
        <f aca="false">Guests!A28</f>
        <v>Craig Hupper</v>
      </c>
      <c r="K26" s="50"/>
    </row>
    <row r="27" customFormat="false" ht="15" hidden="false" customHeight="true" outlineLevel="0" collapsed="false">
      <c r="A27" s="52" t="n">
        <f aca="false">VLOOKUP(B26,Guests[],4,0)</f>
        <v>3</v>
      </c>
      <c r="B27" s="47"/>
      <c r="C27" s="47"/>
      <c r="D27" s="48"/>
      <c r="E27" s="52" t="n">
        <f aca="false">VLOOKUP(F26,Guests[],4,0)</f>
        <v>5</v>
      </c>
      <c r="F27" s="47"/>
      <c r="G27" s="47"/>
      <c r="H27" s="48"/>
      <c r="I27" s="52" t="n">
        <f aca="false">VLOOKUP(J26,Guests[],4,0)</f>
        <v>4</v>
      </c>
      <c r="J27" s="47"/>
      <c r="K27" s="47"/>
    </row>
    <row r="28" customFormat="false" ht="15" hidden="false" customHeight="true" outlineLevel="0" collapsed="false">
      <c r="A28" s="52"/>
      <c r="B28" s="53" t="s">
        <v>49</v>
      </c>
      <c r="C28" s="53" t="n">
        <f aca="false">VLOOKUP(B26,Guests[],5,0)</f>
        <v>7</v>
      </c>
      <c r="D28" s="51"/>
      <c r="E28" s="52"/>
      <c r="F28" s="53" t="s">
        <v>49</v>
      </c>
      <c r="G28" s="53" t="n">
        <f aca="false">VLOOKUP(F26,Guests[],5,0)</f>
        <v>17</v>
      </c>
      <c r="H28" s="51"/>
      <c r="I28" s="52"/>
      <c r="J28" s="53" t="s">
        <v>49</v>
      </c>
      <c r="K28" s="53" t="n">
        <f aca="false">VLOOKUP(J26,Guests[],5,0)</f>
        <v>27</v>
      </c>
    </row>
    <row r="29" customFormat="false" ht="34.5" hidden="false" customHeight="true" outlineLevel="0" collapsed="false">
      <c r="A29" s="46"/>
      <c r="B29" s="47"/>
      <c r="C29" s="47"/>
      <c r="D29" s="48"/>
      <c r="E29" s="46"/>
      <c r="F29" s="47"/>
      <c r="G29" s="47"/>
      <c r="H29" s="48"/>
      <c r="I29" s="46"/>
      <c r="J29" s="47"/>
      <c r="K29" s="47"/>
    </row>
    <row r="30" customFormat="false" ht="15" hidden="false" customHeight="false" outlineLevel="0" collapsed="false">
      <c r="A30" s="49" t="s">
        <v>364</v>
      </c>
      <c r="B30" s="50" t="str">
        <f aca="false">Guests!A9</f>
        <v>Don Butt</v>
      </c>
      <c r="C30" s="50"/>
      <c r="D30" s="51"/>
      <c r="E30" s="49" t="s">
        <v>364</v>
      </c>
      <c r="F30" s="50" t="str">
        <f aca="false">Guests!A19</f>
        <v>Linda Fusco</v>
      </c>
      <c r="G30" s="50"/>
      <c r="H30" s="51"/>
      <c r="I30" s="49" t="s">
        <v>364</v>
      </c>
      <c r="J30" s="50" t="str">
        <f aca="false">Guests!A29</f>
        <v>Susan Hupper</v>
      </c>
      <c r="K30" s="50"/>
    </row>
    <row r="31" customFormat="false" ht="15" hidden="false" customHeight="true" outlineLevel="0" collapsed="false">
      <c r="A31" s="52" t="n">
        <f aca="false">VLOOKUP(B30,Guests[],4,0)</f>
        <v>4</v>
      </c>
      <c r="B31" s="47"/>
      <c r="C31" s="47"/>
      <c r="D31" s="48"/>
      <c r="E31" s="52" t="n">
        <f aca="false">VLOOKUP(F30,Guests[],4,0)</f>
        <v>1</v>
      </c>
      <c r="F31" s="47"/>
      <c r="G31" s="47"/>
      <c r="H31" s="48"/>
      <c r="I31" s="52" t="n">
        <f aca="false">VLOOKUP(J30,Guests[],4,0)</f>
        <v>4</v>
      </c>
      <c r="J31" s="47"/>
      <c r="K31" s="47"/>
    </row>
    <row r="32" customFormat="false" ht="15" hidden="false" customHeight="true" outlineLevel="0" collapsed="false">
      <c r="A32" s="52"/>
      <c r="B32" s="53" t="s">
        <v>49</v>
      </c>
      <c r="C32" s="53" t="n">
        <f aca="false">VLOOKUP(B30,Guests[],5,0)</f>
        <v>8</v>
      </c>
      <c r="D32" s="51"/>
      <c r="E32" s="52"/>
      <c r="F32" s="53" t="s">
        <v>49</v>
      </c>
      <c r="G32" s="53" t="n">
        <f aca="false">VLOOKUP(F30,Guests[],5,0)</f>
        <v>18</v>
      </c>
      <c r="H32" s="51"/>
      <c r="I32" s="52"/>
      <c r="J32" s="53" t="s">
        <v>49</v>
      </c>
      <c r="K32" s="53" t="n">
        <f aca="false">VLOOKUP(J30,Guests[],5,0)</f>
        <v>28</v>
      </c>
    </row>
    <row r="33" customFormat="false" ht="34.5" hidden="false" customHeight="true" outlineLevel="0" collapsed="false">
      <c r="A33" s="46"/>
      <c r="B33" s="47"/>
      <c r="C33" s="47"/>
      <c r="D33" s="48"/>
      <c r="E33" s="46"/>
      <c r="F33" s="47"/>
      <c r="G33" s="47"/>
      <c r="H33" s="48"/>
      <c r="I33" s="46"/>
      <c r="J33" s="47"/>
      <c r="K33" s="47"/>
    </row>
    <row r="34" customFormat="false" ht="15" hidden="false" customHeight="false" outlineLevel="0" collapsed="false">
      <c r="A34" s="49" t="s">
        <v>364</v>
      </c>
      <c r="B34" s="50" t="str">
        <f aca="false">Guests!A10</f>
        <v>Xin Chen</v>
      </c>
      <c r="C34" s="50"/>
      <c r="D34" s="51"/>
      <c r="E34" s="49" t="s">
        <v>364</v>
      </c>
      <c r="F34" s="50" t="str">
        <f aca="false">Guests!A20</f>
        <v>Ben Fusco</v>
      </c>
      <c r="G34" s="50"/>
      <c r="H34" s="51"/>
      <c r="I34" s="49" t="s">
        <v>364</v>
      </c>
      <c r="J34" s="50" t="str">
        <f aca="false">Guests!A30</f>
        <v>Linda Iacomini</v>
      </c>
      <c r="K34" s="50"/>
    </row>
    <row r="35" customFormat="false" ht="15" hidden="false" customHeight="true" outlineLevel="0" collapsed="false">
      <c r="A35" s="52" t="n">
        <f aca="false">VLOOKUP(B34,Guests[],4,0)</f>
        <v>2</v>
      </c>
      <c r="B35" s="47"/>
      <c r="C35" s="47"/>
      <c r="D35" s="48"/>
      <c r="E35" s="52" t="n">
        <f aca="false">VLOOKUP(F34,Guests[],4,0)</f>
        <v>1</v>
      </c>
      <c r="F35" s="47"/>
      <c r="G35" s="47"/>
      <c r="H35" s="48"/>
      <c r="I35" s="52" t="n">
        <f aca="false">VLOOKUP(J34,Guests[],4,0)</f>
        <v>5</v>
      </c>
      <c r="J35" s="47"/>
      <c r="K35" s="47"/>
    </row>
    <row r="36" customFormat="false" ht="15" hidden="false" customHeight="true" outlineLevel="0" collapsed="false">
      <c r="A36" s="52"/>
      <c r="B36" s="53" t="s">
        <v>49</v>
      </c>
      <c r="C36" s="53" t="n">
        <f aca="false">VLOOKUP(B34,Guests[],5,0)</f>
        <v>9</v>
      </c>
      <c r="D36" s="51"/>
      <c r="E36" s="52"/>
      <c r="F36" s="53" t="s">
        <v>49</v>
      </c>
      <c r="G36" s="53" t="n">
        <f aca="false">VLOOKUP(F34,Guests[],5,0)</f>
        <v>19</v>
      </c>
      <c r="H36" s="51"/>
      <c r="I36" s="52"/>
      <c r="J36" s="53" t="s">
        <v>49</v>
      </c>
      <c r="K36" s="53" t="n">
        <f aca="false">VLOOKUP(J34,Guests[],5,0)</f>
        <v>29</v>
      </c>
    </row>
    <row r="37" customFormat="false" ht="34.5" hidden="false" customHeight="true" outlineLevel="0" collapsed="false">
      <c r="A37" s="46"/>
      <c r="B37" s="47"/>
      <c r="C37" s="47"/>
      <c r="D37" s="48"/>
      <c r="E37" s="46"/>
      <c r="F37" s="47"/>
      <c r="G37" s="47"/>
      <c r="H37" s="48"/>
      <c r="I37" s="46"/>
      <c r="J37" s="47"/>
      <c r="K37" s="47"/>
    </row>
    <row r="38" customFormat="false" ht="15" hidden="false" customHeight="false" outlineLevel="0" collapsed="false">
      <c r="A38" s="49" t="s">
        <v>364</v>
      </c>
      <c r="B38" s="50" t="str">
        <f aca="false">Guests!A11</f>
        <v>Nan Coffee</v>
      </c>
      <c r="C38" s="50"/>
      <c r="D38" s="51"/>
      <c r="E38" s="49" t="s">
        <v>364</v>
      </c>
      <c r="F38" s="50" t="str">
        <f aca="false">Guests!A21</f>
        <v>Matt Glasson</v>
      </c>
      <c r="G38" s="50"/>
      <c r="H38" s="51"/>
      <c r="I38" s="49" t="s">
        <v>364</v>
      </c>
      <c r="J38" s="50" t="str">
        <f aca="false">Guests!A31</f>
        <v>Steve James</v>
      </c>
      <c r="K38" s="50"/>
    </row>
    <row r="39" customFormat="false" ht="15" hidden="false" customHeight="true" outlineLevel="0" collapsed="false">
      <c r="A39" s="52" t="n">
        <f aca="false">VLOOKUP(B38,Guests[],4,0)</f>
        <v>9</v>
      </c>
      <c r="B39" s="47"/>
      <c r="C39" s="47"/>
      <c r="D39" s="48"/>
      <c r="E39" s="52" t="n">
        <f aca="false">VLOOKUP(F38,Guests[],4,0)</f>
        <v>7</v>
      </c>
      <c r="F39" s="47"/>
      <c r="G39" s="47"/>
      <c r="H39" s="48"/>
      <c r="I39" s="52" t="n">
        <f aca="false">VLOOKUP(J38,Guests[],4,0)</f>
        <v>6</v>
      </c>
      <c r="J39" s="47"/>
      <c r="K39" s="47"/>
    </row>
    <row r="40" customFormat="false" ht="15" hidden="false" customHeight="true" outlineLevel="0" collapsed="false">
      <c r="A40" s="52"/>
      <c r="B40" s="53" t="s">
        <v>49</v>
      </c>
      <c r="C40" s="53" t="n">
        <f aca="false">VLOOKUP(B38,Guests[],5,0)</f>
        <v>10</v>
      </c>
      <c r="D40" s="51"/>
      <c r="E40" s="52"/>
      <c r="F40" s="53" t="s">
        <v>49</v>
      </c>
      <c r="G40" s="53" t="n">
        <f aca="false">VLOOKUP(F38,Guests[],5,0)</f>
        <v>20</v>
      </c>
      <c r="H40" s="51"/>
      <c r="I40" s="52"/>
      <c r="J40" s="53" t="s">
        <v>49</v>
      </c>
      <c r="K40" s="53" t="n">
        <f aca="false">VLOOKUP(J38,Guests[],5,0)</f>
        <v>30</v>
      </c>
    </row>
    <row r="41" customFormat="false" ht="34.5" hidden="false" customHeight="true" outlineLevel="0" collapsed="false">
      <c r="A41" s="46"/>
      <c r="B41" s="47"/>
      <c r="C41" s="47"/>
      <c r="D41" s="48"/>
      <c r="E41" s="46"/>
      <c r="F41" s="47"/>
      <c r="G41" s="47"/>
      <c r="H41" s="48"/>
      <c r="I41" s="46"/>
      <c r="J41" s="47"/>
      <c r="K41" s="47"/>
    </row>
    <row r="42" customFormat="false" ht="15" hidden="false" customHeight="false" outlineLevel="0" collapsed="false">
      <c r="A42" s="46"/>
      <c r="B42" s="47"/>
      <c r="C42" s="47"/>
      <c r="D42" s="48"/>
      <c r="E42" s="46"/>
      <c r="F42" s="47"/>
      <c r="G42" s="47"/>
      <c r="H42" s="48"/>
      <c r="I42" s="46"/>
      <c r="J42" s="47"/>
      <c r="K42" s="47"/>
    </row>
    <row r="43" customFormat="false" ht="34.5" hidden="false" customHeight="true" outlineLevel="0" collapsed="false">
      <c r="A43" s="46"/>
      <c r="B43" s="47"/>
      <c r="C43" s="47"/>
      <c r="D43" s="48"/>
      <c r="E43" s="46"/>
      <c r="F43" s="47"/>
      <c r="G43" s="47"/>
      <c r="H43" s="48"/>
      <c r="I43" s="46"/>
      <c r="J43" s="47"/>
      <c r="K43" s="47"/>
    </row>
    <row r="44" customFormat="false" ht="15" hidden="false" customHeight="false" outlineLevel="0" collapsed="false">
      <c r="A44" s="49" t="s">
        <v>364</v>
      </c>
      <c r="B44" s="50" t="str">
        <f aca="false">Guests!A32</f>
        <v>Kevin James</v>
      </c>
      <c r="C44" s="50"/>
      <c r="D44" s="51"/>
      <c r="E44" s="49" t="s">
        <v>364</v>
      </c>
      <c r="F44" s="50" t="str">
        <f aca="false">Guests!A42</f>
        <v>Andrew McGuire</v>
      </c>
      <c r="G44" s="50"/>
      <c r="H44" s="51"/>
      <c r="I44" s="49" t="s">
        <v>364</v>
      </c>
      <c r="J44" s="50" t="str">
        <f aca="false">Guests!A52</f>
        <v>Brian Mumfort</v>
      </c>
      <c r="K44" s="50"/>
    </row>
    <row r="45" customFormat="false" ht="15" hidden="false" customHeight="true" outlineLevel="0" collapsed="false">
      <c r="A45" s="52" t="n">
        <f aca="false">VLOOKUP(B44,Guests[],4,0)</f>
        <v>6</v>
      </c>
      <c r="B45" s="47"/>
      <c r="C45" s="47"/>
      <c r="D45" s="48"/>
      <c r="E45" s="52" t="n">
        <f aca="false">VLOOKUP(F44,Guests[],4,0)</f>
        <v>8</v>
      </c>
      <c r="F45" s="47"/>
      <c r="G45" s="47"/>
      <c r="H45" s="48"/>
      <c r="I45" s="52" t="n">
        <f aca="false">VLOOKUP(J44,Guests[],4,0)</f>
        <v>3</v>
      </c>
      <c r="J45" s="47"/>
      <c r="K45" s="47"/>
    </row>
    <row r="46" customFormat="false" ht="15" hidden="false" customHeight="true" outlineLevel="0" collapsed="false">
      <c r="A46" s="52"/>
      <c r="B46" s="53" t="s">
        <v>49</v>
      </c>
      <c r="C46" s="53" t="n">
        <f aca="false">VLOOKUP(B44,Guests[],5,0)</f>
        <v>31</v>
      </c>
      <c r="D46" s="51"/>
      <c r="E46" s="52"/>
      <c r="F46" s="53" t="s">
        <v>49</v>
      </c>
      <c r="G46" s="53" t="n">
        <f aca="false">VLOOKUP(F44,Guests[],5,0)</f>
        <v>41</v>
      </c>
      <c r="H46" s="51"/>
      <c r="I46" s="52"/>
      <c r="J46" s="53" t="s">
        <v>49</v>
      </c>
      <c r="K46" s="53" t="n">
        <f aca="false">VLOOKUP(J44,Guests[],5,0)</f>
        <v>51</v>
      </c>
    </row>
    <row r="47" customFormat="false" ht="34.5" hidden="false" customHeight="true" outlineLevel="0" collapsed="false">
      <c r="A47" s="46"/>
      <c r="B47" s="47"/>
      <c r="C47" s="47"/>
      <c r="D47" s="48"/>
      <c r="E47" s="46"/>
      <c r="F47" s="47"/>
      <c r="G47" s="47"/>
      <c r="H47" s="48"/>
      <c r="I47" s="46"/>
      <c r="J47" s="47"/>
      <c r="K47" s="47"/>
    </row>
    <row r="48" customFormat="false" ht="15" hidden="false" customHeight="false" outlineLevel="0" collapsed="false">
      <c r="A48" s="49" t="s">
        <v>364</v>
      </c>
      <c r="B48" s="50" t="str">
        <f aca="false">Guests!A33</f>
        <v>Julie James</v>
      </c>
      <c r="C48" s="50"/>
      <c r="D48" s="51"/>
      <c r="E48" s="49" t="s">
        <v>364</v>
      </c>
      <c r="F48" s="50" t="str">
        <f aca="false">Guests!A43</f>
        <v>Stewart McGuire</v>
      </c>
      <c r="G48" s="50"/>
      <c r="H48" s="51"/>
      <c r="I48" s="49" t="s">
        <v>364</v>
      </c>
      <c r="J48" s="50" t="str">
        <f aca="false">Guests!A53</f>
        <v>Rose Murdock</v>
      </c>
      <c r="K48" s="50"/>
    </row>
    <row r="49" customFormat="false" ht="15" hidden="false" customHeight="true" outlineLevel="0" collapsed="false">
      <c r="A49" s="52" t="n">
        <f aca="false">VLOOKUP(B48,Guests[],4,0)</f>
        <v>6</v>
      </c>
      <c r="B49" s="47"/>
      <c r="C49" s="47"/>
      <c r="D49" s="48"/>
      <c r="E49" s="52" t="n">
        <f aca="false">VLOOKUP(F48,Guests[],4,0)</f>
        <v>8</v>
      </c>
      <c r="F49" s="47"/>
      <c r="G49" s="47"/>
      <c r="H49" s="48"/>
      <c r="I49" s="52" t="n">
        <f aca="false">VLOOKUP(J48,Guests[],4,0)</f>
        <v>8</v>
      </c>
      <c r="J49" s="47"/>
      <c r="K49" s="47"/>
    </row>
    <row r="50" customFormat="false" ht="15" hidden="false" customHeight="true" outlineLevel="0" collapsed="false">
      <c r="A50" s="52"/>
      <c r="B50" s="53" t="s">
        <v>49</v>
      </c>
      <c r="C50" s="53" t="n">
        <f aca="false">VLOOKUP(B48,Guests[],5,0)</f>
        <v>32</v>
      </c>
      <c r="D50" s="51"/>
      <c r="E50" s="52"/>
      <c r="F50" s="53" t="s">
        <v>49</v>
      </c>
      <c r="G50" s="53" t="n">
        <f aca="false">VLOOKUP(F48,Guests[],5,0)</f>
        <v>42</v>
      </c>
      <c r="H50" s="51"/>
      <c r="I50" s="52"/>
      <c r="J50" s="53" t="s">
        <v>49</v>
      </c>
      <c r="K50" s="53" t="n">
        <f aca="false">VLOOKUP(J48,Guests[],5,0)</f>
        <v>52</v>
      </c>
    </row>
    <row r="51" customFormat="false" ht="34.5" hidden="false" customHeight="true" outlineLevel="0" collapsed="false">
      <c r="A51" s="46"/>
      <c r="B51" s="47"/>
      <c r="C51" s="47"/>
      <c r="D51" s="48"/>
      <c r="E51" s="46"/>
      <c r="F51" s="47"/>
      <c r="G51" s="47"/>
      <c r="H51" s="48"/>
      <c r="I51" s="46"/>
      <c r="J51" s="47"/>
      <c r="K51" s="47"/>
    </row>
    <row r="52" customFormat="false" ht="15" hidden="false" customHeight="false" outlineLevel="0" collapsed="false">
      <c r="A52" s="49" t="s">
        <v>364</v>
      </c>
      <c r="B52" s="50" t="str">
        <f aca="false">Guests!A34</f>
        <v>Mark Kaufman</v>
      </c>
      <c r="C52" s="50"/>
      <c r="D52" s="51"/>
      <c r="E52" s="49" t="s">
        <v>364</v>
      </c>
      <c r="F52" s="50" t="str">
        <f aca="false">Guests!A44</f>
        <v>Peggy McGuire</v>
      </c>
      <c r="G52" s="50"/>
      <c r="H52" s="51"/>
      <c r="I52" s="49" t="s">
        <v>364</v>
      </c>
      <c r="J52" s="50" t="str">
        <f aca="false">Guests!A54</f>
        <v>Carmen Perdomo</v>
      </c>
      <c r="K52" s="50"/>
    </row>
    <row r="53" customFormat="false" ht="15" hidden="false" customHeight="true" outlineLevel="0" collapsed="false">
      <c r="A53" s="52" t="n">
        <f aca="false">VLOOKUP(B52,Guests[],4,0)</f>
        <v>9</v>
      </c>
      <c r="B53" s="47"/>
      <c r="C53" s="47"/>
      <c r="D53" s="48"/>
      <c r="E53" s="52" t="n">
        <f aca="false">VLOOKUP(F52,Guests[],4,0)</f>
        <v>8</v>
      </c>
      <c r="F53" s="47"/>
      <c r="G53" s="47"/>
      <c r="H53" s="48"/>
      <c r="I53" s="52" t="n">
        <f aca="false">VLOOKUP(J52,Guests[],4,0)</f>
        <v>7</v>
      </c>
      <c r="J53" s="47"/>
      <c r="K53" s="47"/>
    </row>
    <row r="54" customFormat="false" ht="15" hidden="false" customHeight="true" outlineLevel="0" collapsed="false">
      <c r="A54" s="52"/>
      <c r="B54" s="53" t="s">
        <v>49</v>
      </c>
      <c r="C54" s="53" t="n">
        <f aca="false">VLOOKUP(B52,Guests[],5,0)</f>
        <v>33</v>
      </c>
      <c r="D54" s="51"/>
      <c r="E54" s="52"/>
      <c r="F54" s="53" t="s">
        <v>49</v>
      </c>
      <c r="G54" s="53" t="n">
        <f aca="false">VLOOKUP(F52,Guests[],5,0)</f>
        <v>43</v>
      </c>
      <c r="H54" s="51"/>
      <c r="I54" s="52"/>
      <c r="J54" s="53" t="s">
        <v>49</v>
      </c>
      <c r="K54" s="53" t="n">
        <f aca="false">VLOOKUP(J52,Guests[],5,0)</f>
        <v>53</v>
      </c>
    </row>
    <row r="55" customFormat="false" ht="34.5" hidden="false" customHeight="true" outlineLevel="0" collapsed="false">
      <c r="A55" s="46"/>
      <c r="B55" s="47"/>
      <c r="C55" s="47"/>
      <c r="D55" s="48"/>
      <c r="E55" s="46"/>
      <c r="F55" s="47"/>
      <c r="G55" s="47"/>
      <c r="H55" s="48"/>
      <c r="I55" s="46"/>
      <c r="J55" s="47"/>
      <c r="K55" s="47"/>
    </row>
    <row r="56" customFormat="false" ht="15" hidden="false" customHeight="false" outlineLevel="0" collapsed="false">
      <c r="A56" s="49" t="s">
        <v>364</v>
      </c>
      <c r="B56" s="50" t="str">
        <f aca="false">Guests!A35</f>
        <v>Frannie Kaufman</v>
      </c>
      <c r="C56" s="50"/>
      <c r="D56" s="51"/>
      <c r="E56" s="49" t="s">
        <v>364</v>
      </c>
      <c r="F56" s="50" t="str">
        <f aca="false">Guests!A45</f>
        <v>Max McGuire</v>
      </c>
      <c r="G56" s="50"/>
      <c r="H56" s="51"/>
      <c r="I56" s="49" t="s">
        <v>364</v>
      </c>
      <c r="J56" s="50" t="str">
        <f aca="false">Guests!A55</f>
        <v>Frank Perdomo</v>
      </c>
      <c r="K56" s="50"/>
    </row>
    <row r="57" customFormat="false" ht="15" hidden="false" customHeight="true" outlineLevel="0" collapsed="false">
      <c r="A57" s="52" t="n">
        <f aca="false">VLOOKUP(B56,Guests[],4,0)</f>
        <v>9</v>
      </c>
      <c r="B57" s="47"/>
      <c r="C57" s="47"/>
      <c r="D57" s="48"/>
      <c r="E57" s="52" t="n">
        <f aca="false">VLOOKUP(F56,Guests[],4,0)</f>
        <v>8</v>
      </c>
      <c r="F57" s="47"/>
      <c r="G57" s="47"/>
      <c r="H57" s="48"/>
      <c r="I57" s="52" t="n">
        <f aca="false">VLOOKUP(J56,Guests[],4,0)</f>
        <v>7</v>
      </c>
      <c r="J57" s="47"/>
      <c r="K57" s="47"/>
    </row>
    <row r="58" customFormat="false" ht="15" hidden="false" customHeight="true" outlineLevel="0" collapsed="false">
      <c r="A58" s="52"/>
      <c r="B58" s="53" t="s">
        <v>49</v>
      </c>
      <c r="C58" s="53" t="n">
        <f aca="false">VLOOKUP(B56,Guests[],5,0)</f>
        <v>34</v>
      </c>
      <c r="D58" s="51"/>
      <c r="E58" s="52"/>
      <c r="F58" s="53" t="s">
        <v>49</v>
      </c>
      <c r="G58" s="53" t="n">
        <f aca="false">VLOOKUP(F56,Guests[],5,0)</f>
        <v>44</v>
      </c>
      <c r="H58" s="51"/>
      <c r="I58" s="52"/>
      <c r="J58" s="53" t="s">
        <v>49</v>
      </c>
      <c r="K58" s="53" t="n">
        <f aca="false">VLOOKUP(J56,Guests[],5,0)</f>
        <v>54</v>
      </c>
    </row>
    <row r="59" customFormat="false" ht="34.5" hidden="false" customHeight="true" outlineLevel="0" collapsed="false">
      <c r="A59" s="46"/>
      <c r="B59" s="47"/>
      <c r="C59" s="47"/>
      <c r="D59" s="48"/>
      <c r="E59" s="46"/>
      <c r="F59" s="47"/>
      <c r="G59" s="47"/>
      <c r="H59" s="48"/>
      <c r="I59" s="46"/>
      <c r="J59" s="47"/>
      <c r="K59" s="47"/>
    </row>
    <row r="60" customFormat="false" ht="15" hidden="false" customHeight="false" outlineLevel="0" collapsed="false">
      <c r="A60" s="49" t="s">
        <v>364</v>
      </c>
      <c r="B60" s="50" t="str">
        <f aca="false">Guests!A36</f>
        <v>Marty Kihn</v>
      </c>
      <c r="C60" s="50"/>
      <c r="D60" s="51"/>
      <c r="E60" s="49" t="s">
        <v>364</v>
      </c>
      <c r="F60" s="50" t="str">
        <f aca="false">Guests!A46</f>
        <v>Kimberly McGuire</v>
      </c>
      <c r="G60" s="50"/>
      <c r="H60" s="51"/>
      <c r="I60" s="49" t="s">
        <v>364</v>
      </c>
      <c r="J60" s="50" t="str">
        <f aca="false">Guests!A56</f>
        <v>Fred Piker</v>
      </c>
      <c r="K60" s="50"/>
    </row>
    <row r="61" customFormat="false" ht="15" hidden="false" customHeight="true" outlineLevel="0" collapsed="false">
      <c r="A61" s="52" t="n">
        <f aca="false">VLOOKUP(B60,Guests[],4,0)</f>
        <v>1</v>
      </c>
      <c r="B61" s="47"/>
      <c r="C61" s="47"/>
      <c r="D61" s="48"/>
      <c r="E61" s="52" t="n">
        <f aca="false">VLOOKUP(F60,Guests[],4,0)</f>
        <v>8</v>
      </c>
      <c r="F61" s="47"/>
      <c r="G61" s="47"/>
      <c r="H61" s="48"/>
      <c r="I61" s="52" t="n">
        <f aca="false">VLOOKUP(J60,Guests[],4,0)</f>
        <v>7</v>
      </c>
      <c r="J61" s="47"/>
      <c r="K61" s="47"/>
    </row>
    <row r="62" customFormat="false" ht="15" hidden="false" customHeight="true" outlineLevel="0" collapsed="false">
      <c r="A62" s="52"/>
      <c r="B62" s="53" t="s">
        <v>49</v>
      </c>
      <c r="C62" s="53" t="n">
        <f aca="false">VLOOKUP(B60,Guests[],5,0)</f>
        <v>35</v>
      </c>
      <c r="D62" s="51"/>
      <c r="E62" s="52"/>
      <c r="F62" s="53" t="s">
        <v>49</v>
      </c>
      <c r="G62" s="53" t="n">
        <f aca="false">VLOOKUP(F60,Guests[],5,0)</f>
        <v>45</v>
      </c>
      <c r="H62" s="51"/>
      <c r="I62" s="52"/>
      <c r="J62" s="53" t="s">
        <v>49</v>
      </c>
      <c r="K62" s="53" t="n">
        <f aca="false">VLOOKUP(J60,Guests[],5,0)</f>
        <v>55</v>
      </c>
    </row>
    <row r="63" customFormat="false" ht="34.5" hidden="false" customHeight="true" outlineLevel="0" collapsed="false">
      <c r="A63" s="46"/>
      <c r="B63" s="47"/>
      <c r="C63" s="47"/>
      <c r="D63" s="48"/>
      <c r="E63" s="46"/>
      <c r="F63" s="47"/>
      <c r="G63" s="47"/>
      <c r="H63" s="48"/>
      <c r="I63" s="46"/>
      <c r="J63" s="47"/>
      <c r="K63" s="47"/>
    </row>
    <row r="64" customFormat="false" ht="15" hidden="false" customHeight="false" outlineLevel="0" collapsed="false">
      <c r="A64" s="49" t="s">
        <v>364</v>
      </c>
      <c r="B64" s="50" t="str">
        <f aca="false">Guests!A37</f>
        <v>Ann Lauria</v>
      </c>
      <c r="C64" s="50"/>
      <c r="D64" s="51"/>
      <c r="E64" s="49" t="s">
        <v>364</v>
      </c>
      <c r="F64" s="50" t="str">
        <f aca="false">Guests!A47</f>
        <v>Dee McGuire</v>
      </c>
      <c r="G64" s="50"/>
      <c r="H64" s="51"/>
      <c r="I64" s="49" t="s">
        <v>364</v>
      </c>
      <c r="J64" s="50" t="str">
        <f aca="false">Guests!A57</f>
        <v>Ben Pologe</v>
      </c>
      <c r="K64" s="50"/>
    </row>
    <row r="65" customFormat="false" ht="15" hidden="false" customHeight="true" outlineLevel="0" collapsed="false">
      <c r="A65" s="52" t="n">
        <f aca="false">VLOOKUP(B64,Guests[],4,0)</f>
        <v>5</v>
      </c>
      <c r="B65" s="47"/>
      <c r="C65" s="47"/>
      <c r="D65" s="48"/>
      <c r="E65" s="52" t="n">
        <f aca="false">VLOOKUP(F64,Guests[],4,0)</f>
        <v>8</v>
      </c>
      <c r="F65" s="47"/>
      <c r="G65" s="47"/>
      <c r="H65" s="48"/>
      <c r="I65" s="52" t="n">
        <f aca="false">VLOOKUP(J64,Guests[],4,0)</f>
        <v>7</v>
      </c>
      <c r="J65" s="47"/>
      <c r="K65" s="47"/>
    </row>
    <row r="66" customFormat="false" ht="15" hidden="false" customHeight="true" outlineLevel="0" collapsed="false">
      <c r="A66" s="52"/>
      <c r="B66" s="53" t="s">
        <v>49</v>
      </c>
      <c r="C66" s="53" t="n">
        <f aca="false">VLOOKUP(B64,Guests[],5,0)</f>
        <v>36</v>
      </c>
      <c r="D66" s="51"/>
      <c r="E66" s="52"/>
      <c r="F66" s="53" t="s">
        <v>49</v>
      </c>
      <c r="G66" s="53" t="n">
        <f aca="false">VLOOKUP(F64,Guests[],5,0)</f>
        <v>46</v>
      </c>
      <c r="H66" s="51"/>
      <c r="I66" s="52"/>
      <c r="J66" s="53" t="s">
        <v>49</v>
      </c>
      <c r="K66" s="53" t="n">
        <f aca="false">VLOOKUP(J64,Guests[],5,0)</f>
        <v>56</v>
      </c>
    </row>
    <row r="67" customFormat="false" ht="34.5" hidden="false" customHeight="true" outlineLevel="0" collapsed="false">
      <c r="A67" s="46"/>
      <c r="B67" s="47"/>
      <c r="C67" s="47"/>
      <c r="D67" s="48"/>
      <c r="E67" s="46"/>
      <c r="F67" s="47"/>
      <c r="G67" s="47"/>
      <c r="H67" s="48"/>
      <c r="I67" s="46"/>
      <c r="J67" s="47"/>
      <c r="K67" s="47"/>
    </row>
    <row r="68" customFormat="false" ht="15" hidden="false" customHeight="false" outlineLevel="0" collapsed="false">
      <c r="A68" s="49" t="s">
        <v>364</v>
      </c>
      <c r="B68" s="50" t="str">
        <f aca="false">Guests!A38</f>
        <v>Mati Lazar</v>
      </c>
      <c r="C68" s="50"/>
      <c r="D68" s="51"/>
      <c r="E68" s="49" t="s">
        <v>364</v>
      </c>
      <c r="F68" s="50" t="str">
        <f aca="false">Guests!A48</f>
        <v>Abby McGuire</v>
      </c>
      <c r="G68" s="50"/>
      <c r="H68" s="51"/>
      <c r="I68" s="49" t="s">
        <v>364</v>
      </c>
      <c r="J68" s="50" t="str">
        <f aca="false">Guests!A58</f>
        <v>Harold Rosenbaum</v>
      </c>
      <c r="K68" s="50"/>
    </row>
    <row r="69" customFormat="false" ht="15" hidden="false" customHeight="true" outlineLevel="0" collapsed="false">
      <c r="A69" s="52" t="n">
        <f aca="false">VLOOKUP(B68,Guests[],4,0)</f>
        <v>1</v>
      </c>
      <c r="B69" s="47"/>
      <c r="C69" s="47"/>
      <c r="D69" s="48"/>
      <c r="E69" s="52" t="n">
        <f aca="false">VLOOKUP(F68,Guests[],4,0)</f>
        <v>8</v>
      </c>
      <c r="F69" s="47"/>
      <c r="G69" s="47"/>
      <c r="H69" s="48"/>
      <c r="I69" s="52" t="n">
        <f aca="false">VLOOKUP(J68,Guests[],4,0)</f>
        <v>1</v>
      </c>
      <c r="J69" s="47"/>
      <c r="K69" s="47"/>
    </row>
    <row r="70" customFormat="false" ht="15" hidden="false" customHeight="true" outlineLevel="0" collapsed="false">
      <c r="A70" s="52"/>
      <c r="B70" s="53" t="s">
        <v>49</v>
      </c>
      <c r="C70" s="53" t="n">
        <f aca="false">VLOOKUP(B68,Guests[],5,0)</f>
        <v>37</v>
      </c>
      <c r="D70" s="51"/>
      <c r="E70" s="52"/>
      <c r="F70" s="53" t="s">
        <v>49</v>
      </c>
      <c r="G70" s="53" t="n">
        <f aca="false">VLOOKUP(F68,Guests[],5,0)</f>
        <v>47</v>
      </c>
      <c r="H70" s="51"/>
      <c r="I70" s="52"/>
      <c r="J70" s="53" t="s">
        <v>49</v>
      </c>
      <c r="K70" s="53" t="n">
        <f aca="false">VLOOKUP(J68,Guests[],5,0)</f>
        <v>57</v>
      </c>
    </row>
    <row r="71" customFormat="false" ht="34.5" hidden="false" customHeight="true" outlineLevel="0" collapsed="false">
      <c r="A71" s="46"/>
      <c r="B71" s="47"/>
      <c r="C71" s="47"/>
      <c r="D71" s="48"/>
      <c r="E71" s="46"/>
      <c r="F71" s="47"/>
      <c r="G71" s="47"/>
      <c r="H71" s="48"/>
      <c r="I71" s="46"/>
      <c r="J71" s="47"/>
      <c r="K71" s="47"/>
    </row>
    <row r="72" customFormat="false" ht="15" hidden="false" customHeight="false" outlineLevel="0" collapsed="false">
      <c r="A72" s="49" t="s">
        <v>364</v>
      </c>
      <c r="B72" s="50" t="str">
        <f aca="false">Guests!A39</f>
        <v>Vivian Lazar</v>
      </c>
      <c r="C72" s="50"/>
      <c r="D72" s="51"/>
      <c r="E72" s="49" t="s">
        <v>364</v>
      </c>
      <c r="F72" s="50" t="str">
        <f aca="false">Guests!A49</f>
        <v>Elizabeth Meyer-Gross</v>
      </c>
      <c r="G72" s="50"/>
      <c r="H72" s="51"/>
      <c r="I72" s="49" t="s">
        <v>364</v>
      </c>
      <c r="J72" s="50" t="str">
        <f aca="false">Guests!A59</f>
        <v>Edie Rosenbaum</v>
      </c>
      <c r="K72" s="50"/>
    </row>
    <row r="73" customFormat="false" ht="15" hidden="false" customHeight="true" outlineLevel="0" collapsed="false">
      <c r="A73" s="52" t="n">
        <f aca="false">VLOOKUP(B72,Guests[],4,0)</f>
        <v>1</v>
      </c>
      <c r="B73" s="47"/>
      <c r="C73" s="47"/>
      <c r="D73" s="48"/>
      <c r="E73" s="52" t="n">
        <f aca="false">VLOOKUP(F72,Guests[],4,0)</f>
        <v>2</v>
      </c>
      <c r="F73" s="47"/>
      <c r="G73" s="47"/>
      <c r="H73" s="48"/>
      <c r="I73" s="52" t="n">
        <f aca="false">VLOOKUP(J72,Guests[],4,0)</f>
        <v>1</v>
      </c>
      <c r="J73" s="47"/>
      <c r="K73" s="47"/>
    </row>
    <row r="74" customFormat="false" ht="15" hidden="false" customHeight="true" outlineLevel="0" collapsed="false">
      <c r="A74" s="52"/>
      <c r="B74" s="53" t="s">
        <v>49</v>
      </c>
      <c r="C74" s="53" t="n">
        <f aca="false">VLOOKUP(B72,Guests[],5,0)</f>
        <v>38</v>
      </c>
      <c r="D74" s="51"/>
      <c r="E74" s="52"/>
      <c r="F74" s="53" t="s">
        <v>49</v>
      </c>
      <c r="G74" s="53" t="n">
        <f aca="false">VLOOKUP(F72,Guests[],5,0)</f>
        <v>48</v>
      </c>
      <c r="H74" s="51"/>
      <c r="I74" s="52"/>
      <c r="J74" s="53" t="s">
        <v>49</v>
      </c>
      <c r="K74" s="53" t="n">
        <f aca="false">VLOOKUP(J72,Guests[],5,0)</f>
        <v>58</v>
      </c>
    </row>
    <row r="75" customFormat="false" ht="34.5" hidden="false" customHeight="true" outlineLevel="0" collapsed="false">
      <c r="A75" s="46"/>
      <c r="B75" s="47"/>
      <c r="C75" s="47"/>
      <c r="D75" s="48"/>
      <c r="E75" s="46"/>
      <c r="F75" s="47"/>
      <c r="G75" s="47"/>
      <c r="H75" s="48"/>
      <c r="I75" s="46"/>
      <c r="J75" s="47"/>
      <c r="K75" s="47"/>
    </row>
    <row r="76" customFormat="false" ht="15" hidden="false" customHeight="false" outlineLevel="0" collapsed="false">
      <c r="A76" s="49" t="s">
        <v>364</v>
      </c>
      <c r="B76" s="50" t="str">
        <f aca="false">Guests!A40</f>
        <v>Richard Lewis-Pierre</v>
      </c>
      <c r="C76" s="50"/>
      <c r="D76" s="51"/>
      <c r="E76" s="49" t="s">
        <v>364</v>
      </c>
      <c r="F76" s="50" t="str">
        <f aca="false">Guests!A50</f>
        <v>Susan Morello</v>
      </c>
      <c r="G76" s="50"/>
      <c r="H76" s="51"/>
      <c r="I76" s="49" t="s">
        <v>364</v>
      </c>
      <c r="J76" s="50" t="str">
        <f aca="false">Guests!A60</f>
        <v>David Rowsell</v>
      </c>
      <c r="K76" s="50"/>
    </row>
    <row r="77" customFormat="false" ht="15" hidden="false" customHeight="true" outlineLevel="0" collapsed="false">
      <c r="A77" s="52" t="n">
        <f aca="false">VLOOKUP(B76,Guests[],4,0)</f>
        <v>3</v>
      </c>
      <c r="B77" s="47"/>
      <c r="C77" s="47"/>
      <c r="D77" s="48"/>
      <c r="E77" s="52" t="n">
        <f aca="false">VLOOKUP(F76,Guests[],4,0)</f>
        <v>2</v>
      </c>
      <c r="F77" s="47"/>
      <c r="G77" s="47"/>
      <c r="H77" s="48"/>
      <c r="I77" s="52" t="n">
        <f aca="false">VLOOKUP(J76,Guests[],4,0)</f>
        <v>9</v>
      </c>
      <c r="J77" s="47"/>
      <c r="K77" s="47"/>
    </row>
    <row r="78" customFormat="false" ht="15" hidden="false" customHeight="true" outlineLevel="0" collapsed="false">
      <c r="A78" s="52"/>
      <c r="B78" s="53" t="s">
        <v>49</v>
      </c>
      <c r="C78" s="53" t="n">
        <f aca="false">VLOOKUP(B76,Guests[],5,0)</f>
        <v>39</v>
      </c>
      <c r="D78" s="51"/>
      <c r="E78" s="52"/>
      <c r="F78" s="53" t="s">
        <v>49</v>
      </c>
      <c r="G78" s="53" t="n">
        <f aca="false">VLOOKUP(F76,Guests[],5,0)</f>
        <v>49</v>
      </c>
      <c r="H78" s="51"/>
      <c r="I78" s="52"/>
      <c r="J78" s="53" t="s">
        <v>49</v>
      </c>
      <c r="K78" s="53" t="n">
        <f aca="false">VLOOKUP(J76,Guests[],5,0)</f>
        <v>59</v>
      </c>
    </row>
    <row r="79" customFormat="false" ht="34.5" hidden="false" customHeight="true" outlineLevel="0" collapsed="false">
      <c r="A79" s="46"/>
      <c r="B79" s="47"/>
      <c r="C79" s="47"/>
      <c r="D79" s="48"/>
      <c r="E79" s="46"/>
      <c r="F79" s="47"/>
      <c r="G79" s="47"/>
      <c r="H79" s="48"/>
      <c r="I79" s="46"/>
      <c r="J79" s="47"/>
      <c r="K79" s="47"/>
    </row>
    <row r="80" customFormat="false" ht="15" hidden="false" customHeight="false" outlineLevel="0" collapsed="false">
      <c r="A80" s="49" t="s">
        <v>364</v>
      </c>
      <c r="B80" s="50" t="str">
        <f aca="false">Guests!A41</f>
        <v>Elisabeth McDonald</v>
      </c>
      <c r="C80" s="50"/>
      <c r="D80" s="51"/>
      <c r="E80" s="49" t="s">
        <v>364</v>
      </c>
      <c r="F80" s="50" t="str">
        <f aca="false">Guests!A51</f>
        <v>Michael Morello</v>
      </c>
      <c r="G80" s="50"/>
      <c r="H80" s="51"/>
      <c r="I80" s="49" t="s">
        <v>364</v>
      </c>
      <c r="J80" s="50" t="str">
        <f aca="false">Guests!A61</f>
        <v>Belinda Rowsell</v>
      </c>
      <c r="K80" s="50"/>
    </row>
    <row r="81" customFormat="false" ht="15" hidden="false" customHeight="true" outlineLevel="0" collapsed="false">
      <c r="A81" s="52" t="n">
        <f aca="false">VLOOKUP(B80,Guests[],4,0)</f>
        <v>8</v>
      </c>
      <c r="B81" s="47"/>
      <c r="C81" s="47"/>
      <c r="D81" s="48"/>
      <c r="E81" s="52" t="n">
        <f aca="false">VLOOKUP(F80,Guests[],4,0)</f>
        <v>2</v>
      </c>
      <c r="F81" s="47"/>
      <c r="G81" s="47"/>
      <c r="H81" s="48"/>
      <c r="I81" s="52" t="n">
        <f aca="false">VLOOKUP(J80,Guests[],4,0)</f>
        <v>9</v>
      </c>
      <c r="J81" s="47"/>
      <c r="K81" s="47"/>
    </row>
    <row r="82" customFormat="false" ht="15" hidden="false" customHeight="true" outlineLevel="0" collapsed="false">
      <c r="A82" s="52"/>
      <c r="B82" s="53" t="s">
        <v>49</v>
      </c>
      <c r="C82" s="53" t="n">
        <f aca="false">VLOOKUP(B80,Guests[],5,0)</f>
        <v>40</v>
      </c>
      <c r="D82" s="51"/>
      <c r="E82" s="52"/>
      <c r="F82" s="53" t="s">
        <v>49</v>
      </c>
      <c r="G82" s="53" t="n">
        <f aca="false">VLOOKUP(F80,Guests[],5,0)</f>
        <v>50</v>
      </c>
      <c r="H82" s="51"/>
      <c r="I82" s="52"/>
      <c r="J82" s="53" t="s">
        <v>49</v>
      </c>
      <c r="K82" s="53" t="n">
        <f aca="false">VLOOKUP(J80,Guests[],5,0)</f>
        <v>60</v>
      </c>
    </row>
    <row r="83" customFormat="false" ht="34.5" hidden="false" customHeight="true" outlineLevel="0" collapsed="false">
      <c r="A83" s="46"/>
      <c r="B83" s="47"/>
      <c r="C83" s="47"/>
      <c r="D83" s="48"/>
      <c r="E83" s="46"/>
      <c r="F83" s="47"/>
      <c r="G83" s="47"/>
      <c r="H83" s="48"/>
      <c r="I83" s="46"/>
      <c r="J83" s="47"/>
      <c r="K83" s="47"/>
    </row>
    <row r="84" customFormat="false" ht="15" hidden="false" customHeight="false" outlineLevel="0" collapsed="false">
      <c r="A84" s="46"/>
      <c r="B84" s="47"/>
      <c r="C84" s="47"/>
      <c r="D84" s="48"/>
      <c r="E84" s="46"/>
      <c r="F84" s="47"/>
      <c r="G84" s="47"/>
      <c r="H84" s="48"/>
      <c r="I84" s="46"/>
      <c r="J84" s="47"/>
      <c r="K84" s="47"/>
    </row>
    <row r="85" customFormat="false" ht="34.5" hidden="false" customHeight="true" outlineLevel="0" collapsed="false">
      <c r="A85" s="46"/>
      <c r="B85" s="47"/>
      <c r="C85" s="47"/>
      <c r="D85" s="48"/>
      <c r="E85" s="46"/>
      <c r="F85" s="47"/>
      <c r="G85" s="47"/>
      <c r="H85" s="48"/>
      <c r="I85" s="46"/>
      <c r="J85" s="47"/>
      <c r="K85" s="47"/>
    </row>
    <row r="86" customFormat="false" ht="15" hidden="false" customHeight="false" outlineLevel="0" collapsed="false">
      <c r="A86" s="49" t="s">
        <v>364</v>
      </c>
      <c r="B86" s="50" t="str">
        <f aca="false">Guests!A62</f>
        <v>David Schwartz</v>
      </c>
      <c r="C86" s="50"/>
      <c r="D86" s="51"/>
      <c r="E86" s="49" t="s">
        <v>364</v>
      </c>
      <c r="F86" s="50" t="str">
        <f aca="false">Guests!A72</f>
        <v>Father Patrick Ward</v>
      </c>
      <c r="G86" s="50"/>
      <c r="H86" s="51"/>
      <c r="I86" s="49" t="s">
        <v>364</v>
      </c>
      <c r="J86" s="50" t="n">
        <f aca="false">Guests!B82</f>
        <v>0</v>
      </c>
      <c r="K86" s="50"/>
    </row>
    <row r="87" customFormat="false" ht="15" hidden="false" customHeight="true" outlineLevel="0" collapsed="false">
      <c r="A87" s="52" t="n">
        <f aca="false">VLOOKUP(B86,Guests[],4,0)</f>
        <v>6</v>
      </c>
      <c r="B87" s="47"/>
      <c r="C87" s="47"/>
      <c r="D87" s="48"/>
      <c r="E87" s="52" t="n">
        <f aca="false">VLOOKUP(F86,Guests[],4,0)</f>
        <v>4</v>
      </c>
      <c r="F87" s="47"/>
      <c r="G87" s="47"/>
      <c r="H87" s="48"/>
      <c r="I87" s="52" t="e">
        <f aca="false">VLOOKUP(J86,Guests[],4,0)</f>
        <v>#N/A</v>
      </c>
      <c r="J87" s="47"/>
      <c r="K87" s="47"/>
    </row>
    <row r="88" customFormat="false" ht="15" hidden="false" customHeight="true" outlineLevel="0" collapsed="false">
      <c r="A88" s="52"/>
      <c r="B88" s="53" t="s">
        <v>49</v>
      </c>
      <c r="C88" s="53" t="n">
        <f aca="false">VLOOKUP(B86,Guests[],5,0)</f>
        <v>61</v>
      </c>
      <c r="D88" s="51"/>
      <c r="E88" s="52"/>
      <c r="F88" s="53" t="s">
        <v>49</v>
      </c>
      <c r="G88" s="53" t="n">
        <f aca="false">VLOOKUP(F86,Guests[],5,0)</f>
        <v>71</v>
      </c>
      <c r="H88" s="51"/>
      <c r="I88" s="52"/>
      <c r="J88" s="53" t="s">
        <v>49</v>
      </c>
      <c r="K88" s="53" t="e">
        <f aca="false">VLOOKUP(J86,Guests[],5,0)</f>
        <v>#N/A</v>
      </c>
    </row>
    <row r="89" customFormat="false" ht="34.5" hidden="false" customHeight="true" outlineLevel="0" collapsed="false">
      <c r="A89" s="46"/>
      <c r="B89" s="47"/>
      <c r="C89" s="47"/>
      <c r="D89" s="48"/>
      <c r="E89" s="46"/>
      <c r="F89" s="47"/>
      <c r="G89" s="47"/>
      <c r="H89" s="48"/>
      <c r="I89" s="46"/>
      <c r="J89" s="47"/>
      <c r="K89" s="47"/>
    </row>
    <row r="90" customFormat="false" ht="15" hidden="false" customHeight="false" outlineLevel="0" collapsed="false">
      <c r="A90" s="49" t="s">
        <v>364</v>
      </c>
      <c r="B90" s="50" t="str">
        <f aca="false">Guests!A63</f>
        <v>Genti Shehaj</v>
      </c>
      <c r="C90" s="50"/>
      <c r="D90" s="51"/>
      <c r="E90" s="49" t="s">
        <v>364</v>
      </c>
      <c r="F90" s="50" t="str">
        <f aca="false">Guests!A73</f>
        <v>Ricki Wasserman</v>
      </c>
      <c r="G90" s="50"/>
      <c r="H90" s="51"/>
      <c r="I90" s="49" t="s">
        <v>364</v>
      </c>
      <c r="J90" s="50" t="n">
        <f aca="false">Guests!B83</f>
        <v>0</v>
      </c>
      <c r="K90" s="50"/>
    </row>
    <row r="91" customFormat="false" ht="15" hidden="false" customHeight="true" outlineLevel="0" collapsed="false">
      <c r="A91" s="52" t="n">
        <f aca="false">VLOOKUP(B90,Guests[],4,0)</f>
        <v>9</v>
      </c>
      <c r="B91" s="47"/>
      <c r="C91" s="47"/>
      <c r="D91" s="48"/>
      <c r="E91" s="52" t="n">
        <f aca="false">VLOOKUP(F90,Guests[],4,0)</f>
        <v>2</v>
      </c>
      <c r="F91" s="47"/>
      <c r="G91" s="47"/>
      <c r="H91" s="48"/>
      <c r="I91" s="52" t="e">
        <f aca="false">VLOOKUP(J90,Guests[],4,0)</f>
        <v>#N/A</v>
      </c>
      <c r="J91" s="47"/>
      <c r="K91" s="47"/>
    </row>
    <row r="92" customFormat="false" ht="15" hidden="false" customHeight="true" outlineLevel="0" collapsed="false">
      <c r="A92" s="52"/>
      <c r="B92" s="53" t="s">
        <v>49</v>
      </c>
      <c r="C92" s="53" t="n">
        <f aca="false">VLOOKUP(B90,Guests[],5,0)</f>
        <v>62</v>
      </c>
      <c r="D92" s="51"/>
      <c r="E92" s="52"/>
      <c r="F92" s="53" t="s">
        <v>49</v>
      </c>
      <c r="G92" s="53" t="n">
        <f aca="false">VLOOKUP(F90,Guests[],5,0)</f>
        <v>72</v>
      </c>
      <c r="H92" s="51"/>
      <c r="I92" s="52"/>
      <c r="J92" s="53" t="s">
        <v>49</v>
      </c>
      <c r="K92" s="53" t="e">
        <f aca="false">VLOOKUP(J90,Guests[],5,0)</f>
        <v>#N/A</v>
      </c>
    </row>
    <row r="93" customFormat="false" ht="34.5" hidden="false" customHeight="true" outlineLevel="0" collapsed="false">
      <c r="A93" s="46"/>
      <c r="B93" s="47"/>
      <c r="C93" s="47"/>
      <c r="D93" s="48"/>
      <c r="E93" s="46"/>
      <c r="F93" s="47"/>
      <c r="G93" s="47"/>
      <c r="H93" s="48"/>
      <c r="I93" s="46"/>
      <c r="J93" s="47"/>
      <c r="K93" s="47"/>
    </row>
    <row r="94" customFormat="false" ht="15" hidden="false" customHeight="false" outlineLevel="0" collapsed="false">
      <c r="A94" s="49" t="s">
        <v>364</v>
      </c>
      <c r="B94" s="50" t="str">
        <f aca="false">Guests!A64</f>
        <v>Celia Shehaj</v>
      </c>
      <c r="C94" s="50"/>
      <c r="D94" s="51"/>
      <c r="E94" s="49" t="s">
        <v>364</v>
      </c>
      <c r="F94" s="50" t="str">
        <f aca="false">Guests!A74</f>
        <v>Ann Williams</v>
      </c>
      <c r="G94" s="50"/>
      <c r="H94" s="51"/>
      <c r="I94" s="49" t="s">
        <v>364</v>
      </c>
      <c r="J94" s="50" t="n">
        <f aca="false">Guests!B84</f>
        <v>0</v>
      </c>
      <c r="K94" s="50"/>
    </row>
    <row r="95" customFormat="false" ht="15" hidden="false" customHeight="true" outlineLevel="0" collapsed="false">
      <c r="A95" s="52" t="n">
        <f aca="false">VLOOKUP(B94,Guests[],4,0)</f>
        <v>10</v>
      </c>
      <c r="B95" s="47"/>
      <c r="C95" s="47"/>
      <c r="D95" s="48"/>
      <c r="E95" s="52" t="n">
        <f aca="false">VLOOKUP(F94,Guests[],4,0)</f>
        <v>2</v>
      </c>
      <c r="F95" s="47"/>
      <c r="G95" s="47"/>
      <c r="H95" s="48"/>
      <c r="I95" s="52" t="e">
        <f aca="false">VLOOKUP(J94,Guests[],4,0)</f>
        <v>#N/A</v>
      </c>
      <c r="J95" s="47"/>
      <c r="K95" s="47"/>
    </row>
    <row r="96" customFormat="false" ht="15" hidden="false" customHeight="true" outlineLevel="0" collapsed="false">
      <c r="A96" s="52"/>
      <c r="B96" s="53" t="s">
        <v>49</v>
      </c>
      <c r="C96" s="53" t="n">
        <f aca="false">VLOOKUP(B94,Guests[],5,0)</f>
        <v>63</v>
      </c>
      <c r="D96" s="51"/>
      <c r="E96" s="52"/>
      <c r="F96" s="53" t="s">
        <v>49</v>
      </c>
      <c r="G96" s="53" t="n">
        <f aca="false">VLOOKUP(F94,Guests[],5,0)</f>
        <v>73</v>
      </c>
      <c r="H96" s="51"/>
      <c r="I96" s="52"/>
      <c r="J96" s="53" t="s">
        <v>49</v>
      </c>
      <c r="K96" s="53" t="e">
        <f aca="false">VLOOKUP(J94,Guests[],5,0)</f>
        <v>#N/A</v>
      </c>
    </row>
    <row r="97" customFormat="false" ht="34.5" hidden="false" customHeight="true" outlineLevel="0" collapsed="false">
      <c r="A97" s="46"/>
      <c r="B97" s="47"/>
      <c r="C97" s="47"/>
      <c r="D97" s="48"/>
      <c r="E97" s="46"/>
      <c r="F97" s="47"/>
      <c r="G97" s="47"/>
      <c r="H97" s="48"/>
      <c r="I97" s="46"/>
      <c r="J97" s="47"/>
      <c r="K97" s="47"/>
    </row>
    <row r="98" customFormat="false" ht="15" hidden="false" customHeight="false" outlineLevel="0" collapsed="false">
      <c r="A98" s="49" t="s">
        <v>364</v>
      </c>
      <c r="B98" s="50" t="str">
        <f aca="false">Guests!A65</f>
        <v>Tyler Shehaj</v>
      </c>
      <c r="C98" s="50"/>
      <c r="D98" s="51"/>
      <c r="E98" s="49" t="s">
        <v>364</v>
      </c>
      <c r="F98" s="50" t="str">
        <f aca="false">Guests!A75</f>
        <v>Brana Williams</v>
      </c>
      <c r="G98" s="50"/>
      <c r="H98" s="51"/>
      <c r="I98" s="49" t="s">
        <v>364</v>
      </c>
      <c r="J98" s="50" t="n">
        <f aca="false">Guests!B85</f>
        <v>0</v>
      </c>
      <c r="K98" s="50"/>
    </row>
    <row r="99" customFormat="false" ht="15" hidden="false" customHeight="true" outlineLevel="0" collapsed="false">
      <c r="A99" s="52" t="n">
        <f aca="false">VLOOKUP(B98,Guests[],4,0)</f>
        <v>10</v>
      </c>
      <c r="B99" s="47"/>
      <c r="C99" s="47"/>
      <c r="D99" s="48"/>
      <c r="E99" s="52" t="n">
        <f aca="false">VLOOKUP(F98,Guests[],4,0)</f>
        <v>9</v>
      </c>
      <c r="F99" s="47"/>
      <c r="G99" s="47"/>
      <c r="H99" s="48"/>
      <c r="I99" s="52" t="e">
        <f aca="false">VLOOKUP(J98,Guests[],4,0)</f>
        <v>#N/A</v>
      </c>
      <c r="J99" s="47"/>
      <c r="K99" s="47"/>
    </row>
    <row r="100" customFormat="false" ht="15" hidden="false" customHeight="true" outlineLevel="0" collapsed="false">
      <c r="A100" s="52"/>
      <c r="B100" s="53" t="s">
        <v>49</v>
      </c>
      <c r="C100" s="53" t="n">
        <f aca="false">VLOOKUP(B98,Guests[],5,0)</f>
        <v>64</v>
      </c>
      <c r="D100" s="51"/>
      <c r="E100" s="52"/>
      <c r="F100" s="53" t="s">
        <v>49</v>
      </c>
      <c r="G100" s="53" t="n">
        <f aca="false">VLOOKUP(F98,Guests[],5,0)</f>
        <v>74</v>
      </c>
      <c r="H100" s="51"/>
      <c r="I100" s="52"/>
      <c r="J100" s="53" t="s">
        <v>49</v>
      </c>
      <c r="K100" s="53" t="e">
        <f aca="false">VLOOKUP(J98,Guests[],5,0)</f>
        <v>#N/A</v>
      </c>
    </row>
    <row r="101" customFormat="false" ht="34.5" hidden="false" customHeight="true" outlineLevel="0" collapsed="false">
      <c r="A101" s="46"/>
      <c r="B101" s="47"/>
      <c r="C101" s="47"/>
      <c r="D101" s="48"/>
      <c r="E101" s="46"/>
      <c r="F101" s="47"/>
      <c r="G101" s="47"/>
      <c r="H101" s="48"/>
      <c r="I101" s="46"/>
      <c r="J101" s="47"/>
      <c r="K101" s="47"/>
    </row>
    <row r="102" customFormat="false" ht="15" hidden="false" customHeight="false" outlineLevel="0" collapsed="false">
      <c r="A102" s="49" t="s">
        <v>364</v>
      </c>
      <c r="B102" s="50" t="str">
        <f aca="false">Guests!A66</f>
        <v>Jackson Shehaj</v>
      </c>
      <c r="C102" s="50"/>
      <c r="D102" s="51"/>
      <c r="E102" s="49" t="s">
        <v>364</v>
      </c>
      <c r="F102" s="50" t="str">
        <f aca="false">Guests!A76</f>
        <v>Gil Zicklin</v>
      </c>
      <c r="G102" s="50"/>
      <c r="H102" s="51"/>
      <c r="I102" s="49" t="s">
        <v>364</v>
      </c>
      <c r="J102" s="50" t="n">
        <f aca="false">Guests!B86</f>
        <v>0</v>
      </c>
      <c r="K102" s="50"/>
    </row>
    <row r="103" customFormat="false" ht="15" hidden="false" customHeight="true" outlineLevel="0" collapsed="false">
      <c r="A103" s="52" t="n">
        <f aca="false">VLOOKUP(B102,Guests[],4,0)</f>
        <v>10</v>
      </c>
      <c r="B103" s="47"/>
      <c r="C103" s="47"/>
      <c r="D103" s="48"/>
      <c r="E103" s="52" t="n">
        <f aca="false">VLOOKUP(F102,Guests[],4,0)</f>
        <v>6</v>
      </c>
      <c r="F103" s="47"/>
      <c r="G103" s="47"/>
      <c r="H103" s="48"/>
      <c r="I103" s="52" t="e">
        <f aca="false">VLOOKUP(J102,Guests[],4,0)</f>
        <v>#N/A</v>
      </c>
      <c r="J103" s="47"/>
      <c r="K103" s="47"/>
    </row>
    <row r="104" customFormat="false" ht="15" hidden="false" customHeight="true" outlineLevel="0" collapsed="false">
      <c r="A104" s="52"/>
      <c r="B104" s="53" t="s">
        <v>49</v>
      </c>
      <c r="C104" s="53" t="n">
        <f aca="false">VLOOKUP(B102,Guests[],5,0)</f>
        <v>65</v>
      </c>
      <c r="D104" s="51"/>
      <c r="E104" s="52"/>
      <c r="F104" s="53" t="s">
        <v>49</v>
      </c>
      <c r="G104" s="53" t="n">
        <f aca="false">VLOOKUP(F102,Guests[],5,0)</f>
        <v>75</v>
      </c>
      <c r="H104" s="51"/>
      <c r="I104" s="52"/>
      <c r="J104" s="53" t="s">
        <v>49</v>
      </c>
      <c r="K104" s="53" t="e">
        <f aca="false">VLOOKUP(J102,Guests[],5,0)</f>
        <v>#N/A</v>
      </c>
    </row>
    <row r="105" customFormat="false" ht="34.5" hidden="false" customHeight="true" outlineLevel="0" collapsed="false">
      <c r="A105" s="46"/>
      <c r="B105" s="47"/>
      <c r="C105" s="47"/>
      <c r="D105" s="48"/>
      <c r="E105" s="46"/>
      <c r="F105" s="47"/>
      <c r="G105" s="47"/>
      <c r="H105" s="48"/>
      <c r="I105" s="46"/>
      <c r="J105" s="47"/>
      <c r="K105" s="47"/>
    </row>
    <row r="106" customFormat="false" ht="15" hidden="false" customHeight="false" outlineLevel="0" collapsed="false">
      <c r="A106" s="49" t="s">
        <v>364</v>
      </c>
      <c r="B106" s="50" t="str">
        <f aca="false">Guests!A67</f>
        <v>Michael Spudic</v>
      </c>
      <c r="C106" s="50"/>
      <c r="D106" s="51"/>
      <c r="E106" s="49" t="s">
        <v>364</v>
      </c>
      <c r="F106" s="50" t="n">
        <f aca="false">Guests!A77</f>
        <v>0</v>
      </c>
      <c r="G106" s="50"/>
      <c r="H106" s="51"/>
      <c r="I106" s="49" t="s">
        <v>364</v>
      </c>
      <c r="J106" s="50" t="n">
        <f aca="false">Guests!B87</f>
        <v>0</v>
      </c>
      <c r="K106" s="50"/>
    </row>
    <row r="107" customFormat="false" ht="15" hidden="false" customHeight="true" outlineLevel="0" collapsed="false">
      <c r="A107" s="52" t="n">
        <f aca="false">VLOOKUP(B106,Guests[],4,0)</f>
        <v>6</v>
      </c>
      <c r="B107" s="47"/>
      <c r="C107" s="47"/>
      <c r="D107" s="48"/>
      <c r="E107" s="52" t="e">
        <f aca="false">VLOOKUP(F106,Guests[],4,0)</f>
        <v>#N/A</v>
      </c>
      <c r="F107" s="47"/>
      <c r="G107" s="47"/>
      <c r="H107" s="48"/>
      <c r="I107" s="52" t="e">
        <f aca="false">VLOOKUP(J106,Guests[],4,0)</f>
        <v>#N/A</v>
      </c>
      <c r="J107" s="47"/>
      <c r="K107" s="47"/>
    </row>
    <row r="108" customFormat="false" ht="15" hidden="false" customHeight="true" outlineLevel="0" collapsed="false">
      <c r="A108" s="52"/>
      <c r="B108" s="53" t="s">
        <v>49</v>
      </c>
      <c r="C108" s="53" t="n">
        <f aca="false">VLOOKUP(B106,Guests[],5,0)</f>
        <v>66</v>
      </c>
      <c r="D108" s="51"/>
      <c r="E108" s="52"/>
      <c r="F108" s="53" t="s">
        <v>49</v>
      </c>
      <c r="G108" s="53" t="e">
        <f aca="false">VLOOKUP(F106,Guests[],5,0)</f>
        <v>#N/A</v>
      </c>
      <c r="H108" s="51"/>
      <c r="I108" s="52"/>
      <c r="J108" s="53" t="s">
        <v>49</v>
      </c>
      <c r="K108" s="53" t="e">
        <f aca="false">VLOOKUP(J106,Guests[],5,0)</f>
        <v>#N/A</v>
      </c>
    </row>
    <row r="109" customFormat="false" ht="34.5" hidden="false" customHeight="true" outlineLevel="0" collapsed="false">
      <c r="A109" s="46"/>
      <c r="B109" s="47"/>
      <c r="C109" s="47"/>
      <c r="D109" s="48"/>
      <c r="E109" s="46"/>
      <c r="F109" s="47"/>
      <c r="G109" s="47"/>
      <c r="H109" s="48"/>
      <c r="I109" s="46"/>
      <c r="J109" s="47"/>
      <c r="K109" s="47"/>
    </row>
    <row r="110" customFormat="false" ht="15" hidden="false" customHeight="false" outlineLevel="0" collapsed="false">
      <c r="A110" s="49" t="s">
        <v>364</v>
      </c>
      <c r="B110" s="50" t="str">
        <f aca="false">Guests!A68</f>
        <v>Michael Steinberger</v>
      </c>
      <c r="C110" s="50"/>
      <c r="D110" s="51"/>
      <c r="E110" s="49" t="s">
        <v>364</v>
      </c>
      <c r="F110" s="50" t="n">
        <f aca="false">Guests!A78</f>
        <v>0</v>
      </c>
      <c r="G110" s="50"/>
      <c r="H110" s="51"/>
      <c r="I110" s="49" t="s">
        <v>364</v>
      </c>
      <c r="J110" s="50" t="n">
        <f aca="false">Guests!B88</f>
        <v>0</v>
      </c>
      <c r="K110" s="50"/>
    </row>
    <row r="111" customFormat="false" ht="15" hidden="false" customHeight="true" outlineLevel="0" collapsed="false">
      <c r="A111" s="52" t="n">
        <f aca="false">VLOOKUP(B110,Guests[],4,0)</f>
        <v>3</v>
      </c>
      <c r="B111" s="47"/>
      <c r="C111" s="47"/>
      <c r="D111" s="48"/>
      <c r="E111" s="52" t="e">
        <f aca="false">VLOOKUP(F110,Guests[],4,0)</f>
        <v>#N/A</v>
      </c>
      <c r="F111" s="47"/>
      <c r="G111" s="47"/>
      <c r="H111" s="48"/>
      <c r="I111" s="52" t="e">
        <f aca="false">VLOOKUP(J110,Guests[],4,0)</f>
        <v>#N/A</v>
      </c>
      <c r="J111" s="47"/>
      <c r="K111" s="47"/>
    </row>
    <row r="112" customFormat="false" ht="15" hidden="false" customHeight="true" outlineLevel="0" collapsed="false">
      <c r="A112" s="52"/>
      <c r="B112" s="53" t="s">
        <v>49</v>
      </c>
      <c r="C112" s="53" t="n">
        <f aca="false">VLOOKUP(B110,Guests[],5,0)</f>
        <v>67</v>
      </c>
      <c r="D112" s="51"/>
      <c r="E112" s="52"/>
      <c r="F112" s="53" t="s">
        <v>49</v>
      </c>
      <c r="G112" s="53" t="e">
        <f aca="false">VLOOKUP(F110,Guests[],5,0)</f>
        <v>#N/A</v>
      </c>
      <c r="H112" s="51"/>
      <c r="I112" s="52"/>
      <c r="J112" s="53" t="s">
        <v>49</v>
      </c>
      <c r="K112" s="53" t="e">
        <f aca="false">VLOOKUP(J110,Guests[],5,0)</f>
        <v>#N/A</v>
      </c>
    </row>
    <row r="113" customFormat="false" ht="34.5" hidden="false" customHeight="true" outlineLevel="0" collapsed="false">
      <c r="A113" s="46"/>
      <c r="B113" s="47"/>
      <c r="C113" s="47"/>
      <c r="D113" s="48"/>
      <c r="E113" s="46"/>
      <c r="F113" s="47"/>
      <c r="G113" s="47"/>
      <c r="H113" s="48"/>
      <c r="I113" s="46"/>
      <c r="J113" s="47"/>
      <c r="K113" s="47"/>
    </row>
    <row r="114" customFormat="false" ht="15" hidden="false" customHeight="false" outlineLevel="0" collapsed="false">
      <c r="A114" s="49" t="s">
        <v>364</v>
      </c>
      <c r="B114" s="50" t="str">
        <f aca="false">Guests!A69</f>
        <v>Mary Stevenson</v>
      </c>
      <c r="C114" s="50"/>
      <c r="D114" s="51"/>
      <c r="E114" s="49" t="s">
        <v>364</v>
      </c>
      <c r="F114" s="50" t="n">
        <f aca="false">Guests!B79</f>
        <v>0</v>
      </c>
      <c r="G114" s="50"/>
      <c r="H114" s="51"/>
      <c r="I114" s="49" t="s">
        <v>364</v>
      </c>
      <c r="J114" s="50" t="n">
        <f aca="false">Guests!B89</f>
        <v>0</v>
      </c>
      <c r="K114" s="50"/>
    </row>
    <row r="115" customFormat="false" ht="15" hidden="false" customHeight="true" outlineLevel="0" collapsed="false">
      <c r="A115" s="52" t="n">
        <f aca="false">VLOOKUP(B114,Guests[],4,0)</f>
        <v>4</v>
      </c>
      <c r="B115" s="47"/>
      <c r="C115" s="47"/>
      <c r="D115" s="48"/>
      <c r="E115" s="52" t="e">
        <f aca="false">VLOOKUP(F114,Guests[],4,0)</f>
        <v>#N/A</v>
      </c>
      <c r="F115" s="47"/>
      <c r="G115" s="47"/>
      <c r="H115" s="48"/>
      <c r="I115" s="52" t="e">
        <f aca="false">VLOOKUP(J114,Guests[],4,0)</f>
        <v>#N/A</v>
      </c>
      <c r="J115" s="47"/>
      <c r="K115" s="47"/>
    </row>
    <row r="116" customFormat="false" ht="15" hidden="false" customHeight="true" outlineLevel="0" collapsed="false">
      <c r="A116" s="52"/>
      <c r="B116" s="53" t="s">
        <v>49</v>
      </c>
      <c r="C116" s="53" t="n">
        <f aca="false">VLOOKUP(B114,Guests[],5,0)</f>
        <v>68</v>
      </c>
      <c r="D116" s="51"/>
      <c r="E116" s="52"/>
      <c r="F116" s="53" t="s">
        <v>49</v>
      </c>
      <c r="G116" s="53" t="e">
        <f aca="false">VLOOKUP(F114,Guests[],5,0)</f>
        <v>#N/A</v>
      </c>
      <c r="H116" s="51"/>
      <c r="I116" s="52"/>
      <c r="J116" s="53" t="s">
        <v>49</v>
      </c>
      <c r="K116" s="53" t="e">
        <f aca="false">VLOOKUP(J114,Guests[],5,0)</f>
        <v>#N/A</v>
      </c>
    </row>
    <row r="117" customFormat="false" ht="34.5" hidden="false" customHeight="true" outlineLevel="0" collapsed="false">
      <c r="A117" s="46"/>
      <c r="B117" s="47"/>
      <c r="C117" s="47"/>
      <c r="D117" s="48"/>
      <c r="E117" s="46"/>
      <c r="F117" s="47"/>
      <c r="G117" s="47"/>
      <c r="H117" s="48"/>
      <c r="I117" s="46"/>
      <c r="J117" s="47"/>
      <c r="K117" s="47"/>
    </row>
    <row r="118" customFormat="false" ht="15" hidden="false" customHeight="false" outlineLevel="0" collapsed="false">
      <c r="A118" s="49" t="s">
        <v>364</v>
      </c>
      <c r="B118" s="50" t="str">
        <f aca="false">Guests!A70</f>
        <v>Sedge Ward</v>
      </c>
      <c r="C118" s="50"/>
      <c r="D118" s="51"/>
      <c r="E118" s="49" t="s">
        <v>364</v>
      </c>
      <c r="F118" s="50" t="n">
        <f aca="false">Guests!B80</f>
        <v>0</v>
      </c>
      <c r="G118" s="50"/>
      <c r="H118" s="51"/>
      <c r="I118" s="49" t="s">
        <v>364</v>
      </c>
      <c r="J118" s="50" t="n">
        <f aca="false">Guests!B90</f>
        <v>0</v>
      </c>
      <c r="K118" s="50"/>
    </row>
    <row r="119" customFormat="false" ht="15" hidden="false" customHeight="true" outlineLevel="0" collapsed="false">
      <c r="A119" s="52" t="n">
        <f aca="false">VLOOKUP(B118,Guests[],4,0)</f>
        <v>6</v>
      </c>
      <c r="B119" s="47"/>
      <c r="C119" s="47"/>
      <c r="D119" s="48"/>
      <c r="E119" s="52" t="e">
        <f aca="false">VLOOKUP(F118,Guests[],4,0)</f>
        <v>#N/A</v>
      </c>
      <c r="F119" s="47"/>
      <c r="G119" s="47"/>
      <c r="H119" s="48"/>
      <c r="I119" s="52" t="e">
        <f aca="false">VLOOKUP(J118,Guests[],4,0)</f>
        <v>#N/A</v>
      </c>
      <c r="J119" s="47"/>
      <c r="K119" s="47"/>
    </row>
    <row r="120" customFormat="false" ht="15" hidden="false" customHeight="true" outlineLevel="0" collapsed="false">
      <c r="A120" s="52"/>
      <c r="B120" s="53" t="s">
        <v>49</v>
      </c>
      <c r="C120" s="53" t="n">
        <f aca="false">VLOOKUP(B118,Guests[],5,0)</f>
        <v>69</v>
      </c>
      <c r="D120" s="51"/>
      <c r="E120" s="52"/>
      <c r="F120" s="53" t="s">
        <v>49</v>
      </c>
      <c r="G120" s="53" t="e">
        <f aca="false">VLOOKUP(F118,Guests[],5,0)</f>
        <v>#N/A</v>
      </c>
      <c r="H120" s="51"/>
      <c r="I120" s="52"/>
      <c r="J120" s="53" t="s">
        <v>49</v>
      </c>
      <c r="K120" s="53" t="e">
        <f aca="false">VLOOKUP(J118,Guests[],5,0)</f>
        <v>#N/A</v>
      </c>
    </row>
    <row r="121" customFormat="false" ht="34.5" hidden="false" customHeight="true" outlineLevel="0" collapsed="false">
      <c r="A121" s="46"/>
      <c r="B121" s="47"/>
      <c r="C121" s="47"/>
      <c r="D121" s="48"/>
      <c r="E121" s="46"/>
      <c r="F121" s="47"/>
      <c r="G121" s="47"/>
      <c r="H121" s="48"/>
      <c r="I121" s="46"/>
      <c r="J121" s="47"/>
      <c r="K121" s="47"/>
    </row>
    <row r="122" customFormat="false" ht="15" hidden="false" customHeight="false" outlineLevel="0" collapsed="false">
      <c r="A122" s="49" t="s">
        <v>364</v>
      </c>
      <c r="B122" s="50" t="str">
        <f aca="false">Guests!A71</f>
        <v>Barbara Ward</v>
      </c>
      <c r="C122" s="50"/>
      <c r="D122" s="51"/>
      <c r="E122" s="49" t="s">
        <v>364</v>
      </c>
      <c r="F122" s="50" t="n">
        <f aca="false">Guests!B81</f>
        <v>0</v>
      </c>
      <c r="G122" s="50"/>
      <c r="H122" s="51"/>
      <c r="I122" s="49" t="s">
        <v>364</v>
      </c>
      <c r="J122" s="50" t="n">
        <f aca="false">Guests!B91</f>
        <v>0</v>
      </c>
      <c r="K122" s="50"/>
    </row>
    <row r="123" customFormat="false" ht="15" hidden="false" customHeight="true" outlineLevel="0" collapsed="false">
      <c r="A123" s="52" t="n">
        <f aca="false">VLOOKUP(B122,Guests[],4,0)</f>
        <v>4</v>
      </c>
      <c r="B123" s="47"/>
      <c r="C123" s="47"/>
      <c r="D123" s="48"/>
      <c r="E123" s="52" t="e">
        <f aca="false">VLOOKUP(F122,Guests[],4,0)</f>
        <v>#N/A</v>
      </c>
      <c r="F123" s="47"/>
      <c r="G123" s="47"/>
      <c r="H123" s="48"/>
      <c r="I123" s="52" t="e">
        <f aca="false">VLOOKUP(J122,Guests[],4,0)</f>
        <v>#N/A</v>
      </c>
      <c r="J123" s="47"/>
      <c r="K123" s="47"/>
    </row>
    <row r="124" customFormat="false" ht="15" hidden="false" customHeight="true" outlineLevel="0" collapsed="false">
      <c r="A124" s="52"/>
      <c r="B124" s="53" t="s">
        <v>49</v>
      </c>
      <c r="C124" s="53" t="n">
        <f aca="false">VLOOKUP(B122,Guests[],5,0)</f>
        <v>70</v>
      </c>
      <c r="D124" s="51"/>
      <c r="E124" s="52"/>
      <c r="F124" s="53" t="s">
        <v>49</v>
      </c>
      <c r="G124" s="53" t="e">
        <f aca="false">VLOOKUP(F122,Guests[],5,0)</f>
        <v>#N/A</v>
      </c>
      <c r="H124" s="51"/>
      <c r="I124" s="52"/>
      <c r="J124" s="53" t="s">
        <v>49</v>
      </c>
      <c r="K124" s="53" t="e">
        <f aca="false">VLOOKUP(J122,Guests[],5,0)</f>
        <v>#N/A</v>
      </c>
    </row>
  </sheetData>
  <mergeCells count="180">
    <mergeCell ref="B2:C2"/>
    <mergeCell ref="F2:G2"/>
    <mergeCell ref="J2:K2"/>
    <mergeCell ref="A3:A4"/>
    <mergeCell ref="E3:E4"/>
    <mergeCell ref="I3:I4"/>
    <mergeCell ref="B6:C6"/>
    <mergeCell ref="F6:G6"/>
    <mergeCell ref="J6:K6"/>
    <mergeCell ref="A7:A8"/>
    <mergeCell ref="E7:E8"/>
    <mergeCell ref="I7:I8"/>
    <mergeCell ref="B10:C10"/>
    <mergeCell ref="F10:G10"/>
    <mergeCell ref="J10:K10"/>
    <mergeCell ref="A11:A12"/>
    <mergeCell ref="E11:E12"/>
    <mergeCell ref="I11:I12"/>
    <mergeCell ref="B14:C14"/>
    <mergeCell ref="F14:G14"/>
    <mergeCell ref="J14:K14"/>
    <mergeCell ref="A15:A16"/>
    <mergeCell ref="E15:E16"/>
    <mergeCell ref="I15:I16"/>
    <mergeCell ref="B18:C18"/>
    <mergeCell ref="F18:G18"/>
    <mergeCell ref="J18:K18"/>
    <mergeCell ref="A19:A20"/>
    <mergeCell ref="E19:E20"/>
    <mergeCell ref="I19:I20"/>
    <mergeCell ref="B22:C22"/>
    <mergeCell ref="F22:G22"/>
    <mergeCell ref="J22:K22"/>
    <mergeCell ref="A23:A24"/>
    <mergeCell ref="E23:E24"/>
    <mergeCell ref="I23:I24"/>
    <mergeCell ref="B26:C26"/>
    <mergeCell ref="F26:G26"/>
    <mergeCell ref="J26:K26"/>
    <mergeCell ref="A27:A28"/>
    <mergeCell ref="E27:E28"/>
    <mergeCell ref="I27:I28"/>
    <mergeCell ref="B30:C30"/>
    <mergeCell ref="F30:G30"/>
    <mergeCell ref="J30:K30"/>
    <mergeCell ref="A31:A32"/>
    <mergeCell ref="E31:E32"/>
    <mergeCell ref="I31:I32"/>
    <mergeCell ref="B34:C34"/>
    <mergeCell ref="F34:G34"/>
    <mergeCell ref="J34:K34"/>
    <mergeCell ref="A35:A36"/>
    <mergeCell ref="E35:E36"/>
    <mergeCell ref="I35:I36"/>
    <mergeCell ref="B38:C38"/>
    <mergeCell ref="F38:G38"/>
    <mergeCell ref="J38:K38"/>
    <mergeCell ref="A39:A40"/>
    <mergeCell ref="E39:E40"/>
    <mergeCell ref="I39:I40"/>
    <mergeCell ref="B44:C44"/>
    <mergeCell ref="F44:G44"/>
    <mergeCell ref="J44:K44"/>
    <mergeCell ref="A45:A46"/>
    <mergeCell ref="E45:E46"/>
    <mergeCell ref="I45:I46"/>
    <mergeCell ref="B48:C48"/>
    <mergeCell ref="F48:G48"/>
    <mergeCell ref="J48:K48"/>
    <mergeCell ref="A49:A50"/>
    <mergeCell ref="E49:E50"/>
    <mergeCell ref="I49:I50"/>
    <mergeCell ref="B52:C52"/>
    <mergeCell ref="F52:G52"/>
    <mergeCell ref="J52:K52"/>
    <mergeCell ref="A53:A54"/>
    <mergeCell ref="E53:E54"/>
    <mergeCell ref="I53:I54"/>
    <mergeCell ref="B56:C56"/>
    <mergeCell ref="F56:G56"/>
    <mergeCell ref="J56:K56"/>
    <mergeCell ref="A57:A58"/>
    <mergeCell ref="E57:E58"/>
    <mergeCell ref="I57:I58"/>
    <mergeCell ref="B60:C60"/>
    <mergeCell ref="F60:G60"/>
    <mergeCell ref="J60:K60"/>
    <mergeCell ref="A61:A62"/>
    <mergeCell ref="E61:E62"/>
    <mergeCell ref="I61:I62"/>
    <mergeCell ref="B64:C64"/>
    <mergeCell ref="F64:G64"/>
    <mergeCell ref="J64:K64"/>
    <mergeCell ref="A65:A66"/>
    <mergeCell ref="E65:E66"/>
    <mergeCell ref="I65:I66"/>
    <mergeCell ref="B68:C68"/>
    <mergeCell ref="F68:G68"/>
    <mergeCell ref="J68:K68"/>
    <mergeCell ref="A69:A70"/>
    <mergeCell ref="E69:E70"/>
    <mergeCell ref="I69:I70"/>
    <mergeCell ref="B72:C72"/>
    <mergeCell ref="F72:G72"/>
    <mergeCell ref="J72:K72"/>
    <mergeCell ref="A73:A74"/>
    <mergeCell ref="E73:E74"/>
    <mergeCell ref="I73:I74"/>
    <mergeCell ref="B76:C76"/>
    <mergeCell ref="F76:G76"/>
    <mergeCell ref="J76:K76"/>
    <mergeCell ref="A77:A78"/>
    <mergeCell ref="E77:E78"/>
    <mergeCell ref="I77:I78"/>
    <mergeCell ref="B80:C80"/>
    <mergeCell ref="F80:G80"/>
    <mergeCell ref="J80:K80"/>
    <mergeCell ref="A81:A82"/>
    <mergeCell ref="E81:E82"/>
    <mergeCell ref="I81:I82"/>
    <mergeCell ref="B86:C86"/>
    <mergeCell ref="F86:G86"/>
    <mergeCell ref="J86:K86"/>
    <mergeCell ref="A87:A88"/>
    <mergeCell ref="E87:E88"/>
    <mergeCell ref="I87:I88"/>
    <mergeCell ref="B90:C90"/>
    <mergeCell ref="F90:G90"/>
    <mergeCell ref="J90:K90"/>
    <mergeCell ref="A91:A92"/>
    <mergeCell ref="E91:E92"/>
    <mergeCell ref="I91:I92"/>
    <mergeCell ref="B94:C94"/>
    <mergeCell ref="F94:G94"/>
    <mergeCell ref="J94:K94"/>
    <mergeCell ref="A95:A96"/>
    <mergeCell ref="E95:E96"/>
    <mergeCell ref="I95:I96"/>
    <mergeCell ref="B98:C98"/>
    <mergeCell ref="F98:G98"/>
    <mergeCell ref="J98:K98"/>
    <mergeCell ref="A99:A100"/>
    <mergeCell ref="E99:E100"/>
    <mergeCell ref="I99:I100"/>
    <mergeCell ref="B102:C102"/>
    <mergeCell ref="F102:G102"/>
    <mergeCell ref="J102:K102"/>
    <mergeCell ref="A103:A104"/>
    <mergeCell ref="E103:E104"/>
    <mergeCell ref="I103:I104"/>
    <mergeCell ref="B106:C106"/>
    <mergeCell ref="F106:G106"/>
    <mergeCell ref="J106:K106"/>
    <mergeCell ref="A107:A108"/>
    <mergeCell ref="E107:E108"/>
    <mergeCell ref="I107:I108"/>
    <mergeCell ref="B110:C110"/>
    <mergeCell ref="F110:G110"/>
    <mergeCell ref="J110:K110"/>
    <mergeCell ref="A111:A112"/>
    <mergeCell ref="E111:E112"/>
    <mergeCell ref="I111:I112"/>
    <mergeCell ref="B114:C114"/>
    <mergeCell ref="F114:G114"/>
    <mergeCell ref="J114:K114"/>
    <mergeCell ref="A115:A116"/>
    <mergeCell ref="E115:E116"/>
    <mergeCell ref="I115:I116"/>
    <mergeCell ref="B118:C118"/>
    <mergeCell ref="F118:G118"/>
    <mergeCell ref="J118:K118"/>
    <mergeCell ref="A119:A120"/>
    <mergeCell ref="E119:E120"/>
    <mergeCell ref="I119:I120"/>
    <mergeCell ref="B122:C122"/>
    <mergeCell ref="F122:G122"/>
    <mergeCell ref="J122:K122"/>
    <mergeCell ref="A123:A124"/>
    <mergeCell ref="E123:E124"/>
    <mergeCell ref="I123:I124"/>
  </mergeCells>
  <printOptions headings="false" gridLines="false" gridLinesSet="true" horizontalCentered="false" verticalCentered="false"/>
  <pageMargins left="0.2" right="0.2" top="0.25" bottom="0.25" header="0.511811023622047" footer="0.511811023622047"/>
  <pageSetup paperSize="1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E2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7" activeCellId="0" sqref="E27"/>
    </sheetView>
  </sheetViews>
  <sheetFormatPr defaultColWidth="8.79296875" defaultRowHeight="15" zeroHeight="false" outlineLevelRow="0" outlineLevelCol="0"/>
  <cols>
    <col collapsed="false" customWidth="true" hidden="false" outlineLevel="0" max="1" min="1" style="1" width="22.28"/>
    <col collapsed="false" customWidth="true" hidden="false" outlineLevel="0" max="2" min="2" style="1" width="13.71"/>
    <col collapsed="false" customWidth="true" hidden="false" outlineLevel="0" max="3" min="3" style="1" width="17.72"/>
    <col collapsed="false" customWidth="true" hidden="false" outlineLevel="0" max="5" min="5" style="1" width="11.14"/>
  </cols>
  <sheetData>
    <row r="1" customFormat="false" ht="15" hidden="false" customHeight="false" outlineLevel="0" collapsed="false">
      <c r="B1" s="1" t="s">
        <v>365</v>
      </c>
      <c r="C1" s="1" t="s">
        <v>366</v>
      </c>
      <c r="D1" s="1" t="s">
        <v>37</v>
      </c>
      <c r="E1" s="1" t="n">
        <v>1001</v>
      </c>
    </row>
    <row r="2" customFormat="false" ht="15" hidden="false" customHeight="false" outlineLevel="0" collapsed="false">
      <c r="B2" s="1" t="s">
        <v>367</v>
      </c>
      <c r="C2" s="1" t="s">
        <v>368</v>
      </c>
      <c r="D2" s="1" t="s">
        <v>369</v>
      </c>
      <c r="E2" s="1" t="n">
        <v>1002</v>
      </c>
    </row>
    <row r="3" customFormat="false" ht="15" hidden="false" customHeight="false" outlineLevel="0" collapsed="false">
      <c r="B3" s="1" t="s">
        <v>370</v>
      </c>
      <c r="C3" s="1" t="s">
        <v>371</v>
      </c>
      <c r="D3" s="1" t="s">
        <v>15</v>
      </c>
      <c r="E3" s="1" t="n">
        <v>1003</v>
      </c>
    </row>
    <row r="4" customFormat="false" ht="15" hidden="false" customHeight="false" outlineLevel="0" collapsed="false">
      <c r="B4" s="1" t="s">
        <v>372</v>
      </c>
      <c r="C4" s="1" t="s">
        <v>373</v>
      </c>
      <c r="D4" s="1" t="s">
        <v>374</v>
      </c>
      <c r="E4" s="1" t="n">
        <v>1004</v>
      </c>
    </row>
    <row r="5" customFormat="false" ht="15" hidden="false" customHeight="false" outlineLevel="0" collapsed="false">
      <c r="B5" s="1" t="s">
        <v>105</v>
      </c>
      <c r="C5" s="1" t="s">
        <v>375</v>
      </c>
      <c r="D5" s="1" t="s">
        <v>19</v>
      </c>
      <c r="E5" s="1" t="n">
        <v>1005</v>
      </c>
    </row>
    <row r="6" customFormat="false" ht="15" hidden="false" customHeight="false" outlineLevel="0" collapsed="false">
      <c r="B6" s="1" t="s">
        <v>376</v>
      </c>
      <c r="C6" s="1" t="s">
        <v>136</v>
      </c>
      <c r="D6" s="1" t="s">
        <v>28</v>
      </c>
      <c r="E6" s="1" t="n">
        <v>1006</v>
      </c>
    </row>
    <row r="7" customFormat="false" ht="15" hidden="false" customHeight="false" outlineLevel="0" collapsed="false">
      <c r="B7" s="1" t="s">
        <v>377</v>
      </c>
      <c r="C7" s="1" t="s">
        <v>378</v>
      </c>
      <c r="D7" s="1" t="s">
        <v>35</v>
      </c>
      <c r="E7" s="1" t="n">
        <v>1007</v>
      </c>
    </row>
    <row r="8" customFormat="false" ht="15" hidden="false" customHeight="false" outlineLevel="0" collapsed="false">
      <c r="B8" s="1" t="s">
        <v>61</v>
      </c>
      <c r="C8" s="1" t="s">
        <v>376</v>
      </c>
      <c r="D8" s="1" t="s">
        <v>29</v>
      </c>
      <c r="E8" s="1" t="n">
        <v>1008</v>
      </c>
    </row>
    <row r="9" customFormat="false" ht="15" hidden="false" customHeight="false" outlineLevel="0" collapsed="false">
      <c r="B9" s="1" t="s">
        <v>195</v>
      </c>
      <c r="C9" s="1" t="s">
        <v>194</v>
      </c>
      <c r="D9" s="1" t="s">
        <v>379</v>
      </c>
      <c r="E9" s="1" t="n">
        <v>1009</v>
      </c>
    </row>
    <row r="10" customFormat="false" ht="15" hidden="false" customHeight="false" outlineLevel="0" collapsed="false">
      <c r="B10" s="1" t="s">
        <v>380</v>
      </c>
      <c r="C10" s="1" t="s">
        <v>194</v>
      </c>
      <c r="D10" s="1" t="s">
        <v>381</v>
      </c>
      <c r="E10" s="1" t="n">
        <v>1010</v>
      </c>
    </row>
    <row r="11" customFormat="false" ht="15" hidden="false" customHeight="false" outlineLevel="0" collapsed="false">
      <c r="B11" s="1" t="s">
        <v>142</v>
      </c>
      <c r="C11" s="1" t="s">
        <v>382</v>
      </c>
      <c r="D11" s="1" t="s">
        <v>383</v>
      </c>
      <c r="E11" s="1" t="n">
        <v>1011</v>
      </c>
    </row>
    <row r="12" customFormat="false" ht="15" hidden="false" customHeight="false" outlineLevel="0" collapsed="false">
      <c r="B12" s="1" t="s">
        <v>133</v>
      </c>
      <c r="C12" s="1" t="s">
        <v>384</v>
      </c>
      <c r="D12" s="1" t="s">
        <v>39</v>
      </c>
      <c r="E12" s="1" t="n">
        <v>1012</v>
      </c>
    </row>
    <row r="13" customFormat="false" ht="15" hidden="false" customHeight="false" outlineLevel="0" collapsed="false">
      <c r="B13" s="1" t="s">
        <v>385</v>
      </c>
      <c r="C13" s="1" t="s">
        <v>386</v>
      </c>
      <c r="D13" s="1" t="s">
        <v>387</v>
      </c>
      <c r="E13" s="1" t="n">
        <v>1013</v>
      </c>
    </row>
    <row r="14" customFormat="false" ht="15" hidden="false" customHeight="false" outlineLevel="0" collapsed="false">
      <c r="B14" s="1" t="s">
        <v>388</v>
      </c>
      <c r="C14" s="1" t="s">
        <v>389</v>
      </c>
      <c r="D14" s="1" t="s">
        <v>30</v>
      </c>
      <c r="E14" s="1" t="n">
        <v>1014</v>
      </c>
    </row>
    <row r="15" customFormat="false" ht="15" hidden="false" customHeight="false" outlineLevel="0" collapsed="false">
      <c r="B15" s="1" t="s">
        <v>390</v>
      </c>
      <c r="C15" s="1" t="s">
        <v>391</v>
      </c>
      <c r="D15" s="1" t="s">
        <v>31</v>
      </c>
      <c r="E15" s="1" t="n">
        <v>1015</v>
      </c>
    </row>
    <row r="16" customFormat="false" ht="15" hidden="false" customHeight="false" outlineLevel="0" collapsed="false">
      <c r="B16" s="1" t="s">
        <v>392</v>
      </c>
      <c r="C16" s="1" t="s">
        <v>393</v>
      </c>
      <c r="D16" s="1" t="s">
        <v>394</v>
      </c>
      <c r="E16" s="1" t="n">
        <v>1016</v>
      </c>
    </row>
    <row r="17" customFormat="false" ht="15" hidden="false" customHeight="false" outlineLevel="0" collapsed="false">
      <c r="B17" s="1" t="s">
        <v>395</v>
      </c>
      <c r="C17" s="1" t="s">
        <v>396</v>
      </c>
      <c r="D17" s="1" t="s">
        <v>42</v>
      </c>
      <c r="E17" s="1" t="n">
        <v>1017</v>
      </c>
    </row>
    <row r="18" customFormat="false" ht="15" hidden="false" customHeight="false" outlineLevel="0" collapsed="false">
      <c r="B18" s="1" t="s">
        <v>397</v>
      </c>
      <c r="C18" s="1" t="s">
        <v>398</v>
      </c>
      <c r="D18" s="1" t="s">
        <v>32</v>
      </c>
      <c r="E18" s="1" t="n">
        <v>1018</v>
      </c>
    </row>
    <row r="19" customFormat="false" ht="15" hidden="false" customHeight="false" outlineLevel="0" collapsed="false">
      <c r="B19" s="1" t="s">
        <v>399</v>
      </c>
      <c r="C19" s="1" t="s">
        <v>400</v>
      </c>
      <c r="D19" s="1" t="s">
        <v>38</v>
      </c>
      <c r="E19" s="1" t="n">
        <v>1019</v>
      </c>
    </row>
    <row r="20" customFormat="false" ht="15" hidden="false" customHeight="false" outlineLevel="0" collapsed="false">
      <c r="B20" s="1" t="s">
        <v>125</v>
      </c>
      <c r="C20" s="1" t="s">
        <v>124</v>
      </c>
      <c r="D20" s="1" t="s">
        <v>33</v>
      </c>
      <c r="E20" s="1" t="n">
        <v>1020</v>
      </c>
    </row>
    <row r="21" customFormat="false" ht="15" hidden="false" customHeight="false" outlineLevel="0" collapsed="false">
      <c r="B21" s="1" t="s">
        <v>401</v>
      </c>
      <c r="C21" s="1" t="s">
        <v>402</v>
      </c>
      <c r="D21" s="1" t="s">
        <v>403</v>
      </c>
      <c r="E21" s="1" t="n">
        <v>1021</v>
      </c>
    </row>
    <row r="22" customFormat="false" ht="15" hidden="false" customHeight="false" outlineLevel="0" collapsed="false">
      <c r="B22" s="1" t="s">
        <v>404</v>
      </c>
      <c r="C22" s="1" t="s">
        <v>405</v>
      </c>
      <c r="D22" s="1" t="s">
        <v>35</v>
      </c>
      <c r="E22" s="1" t="n">
        <v>1022</v>
      </c>
    </row>
    <row r="23" customFormat="false" ht="15" hidden="false" customHeight="false" outlineLevel="0" collapsed="false">
      <c r="B23" s="1" t="s">
        <v>284</v>
      </c>
      <c r="C23" s="1" t="s">
        <v>283</v>
      </c>
      <c r="D23" s="1" t="s">
        <v>36</v>
      </c>
      <c r="E23" s="1" t="n">
        <v>1023</v>
      </c>
    </row>
    <row r="24" customFormat="false" ht="15" hidden="false" customHeight="false" outlineLevel="0" collapsed="false">
      <c r="B24" s="1" t="s">
        <v>406</v>
      </c>
      <c r="C24" s="1" t="s">
        <v>407</v>
      </c>
      <c r="D24" s="1" t="s">
        <v>40</v>
      </c>
      <c r="E24" s="1" t="n">
        <v>1024</v>
      </c>
    </row>
    <row r="25" customFormat="false" ht="15" hidden="false" customHeight="false" outlineLevel="0" collapsed="false">
      <c r="B25" s="1" t="s">
        <v>244</v>
      </c>
      <c r="C25" s="1" t="s">
        <v>240</v>
      </c>
      <c r="D25" s="1" t="s">
        <v>41</v>
      </c>
      <c r="E25" s="1" t="n">
        <v>1025</v>
      </c>
    </row>
    <row r="26" customFormat="false" ht="15" hidden="false" customHeight="false" outlineLevel="0" collapsed="false">
      <c r="B26" s="1" t="s">
        <v>408</v>
      </c>
      <c r="C26" s="1" t="s">
        <v>409</v>
      </c>
      <c r="D26" s="1" t="s">
        <v>43</v>
      </c>
      <c r="E26" s="1" t="n">
        <v>1026</v>
      </c>
    </row>
    <row r="27" customFormat="false" ht="15" hidden="false" customHeight="false" outlineLevel="0" collapsed="false">
      <c r="B27" s="1" t="s">
        <v>410</v>
      </c>
      <c r="C27" s="1" t="s">
        <v>411</v>
      </c>
      <c r="D27" s="1" t="s">
        <v>44</v>
      </c>
      <c r="E27" s="1" t="n">
        <v>1027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7" activeCellId="0" sqref="I7"/>
    </sheetView>
  </sheetViews>
  <sheetFormatPr defaultColWidth="8.79296875" defaultRowHeight="15" zeroHeight="false" outlineLevelRow="0" outlineLevelCol="0"/>
  <sheetData>
    <row r="1" customFormat="false" ht="15" hidden="false" customHeight="false" outlineLevel="0" collapsed="false">
      <c r="A1" s="1" t="s">
        <v>412</v>
      </c>
    </row>
    <row r="3" customFormat="false" ht="15" hidden="false" customHeight="false" outlineLevel="0" collapsed="false">
      <c r="A3" s="1" t="s">
        <v>413</v>
      </c>
      <c r="B3" s="1" t="s">
        <v>414</v>
      </c>
    </row>
    <row r="4" customFormat="false" ht="15" hidden="false" customHeight="false" outlineLevel="0" collapsed="false">
      <c r="A4" s="1" t="s">
        <v>415</v>
      </c>
      <c r="B4" s="1" t="s">
        <v>416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ColWidth="13.4765625" defaultRowHeight="13.8" zeroHeight="false" outlineLevelRow="0" outlineLevelCol="0"/>
  <cols>
    <col collapsed="false" customWidth="true" hidden="false" outlineLevel="0" max="1" min="1" style="1" width="17.54"/>
    <col collapsed="false" customWidth="true" hidden="false" outlineLevel="0" max="2" min="2" style="1" width="16.58"/>
    <col collapsed="false" customWidth="true" hidden="false" outlineLevel="0" max="3" min="3" style="1" width="14.47"/>
    <col collapsed="false" customWidth="true" hidden="false" outlineLevel="0" max="4" min="4" style="2" width="20.53"/>
  </cols>
  <sheetData>
    <row r="1" customFormat="false" ht="13.8" hidden="false" customHeight="false" outlineLevel="0" collapsed="false">
      <c r="A1" s="10" t="s">
        <v>417</v>
      </c>
      <c r="B1" s="10" t="s">
        <v>418</v>
      </c>
      <c r="C1" s="45" t="s">
        <v>419</v>
      </c>
      <c r="D1" s="45" t="s">
        <v>420</v>
      </c>
    </row>
    <row r="2" customFormat="false" ht="13.8" hidden="false" customHeight="false" outlineLevel="0" collapsed="false">
      <c r="A2" s="10" t="s">
        <v>60</v>
      </c>
      <c r="B2" s="10" t="s">
        <v>61</v>
      </c>
      <c r="C2" s="2" t="n">
        <v>5</v>
      </c>
      <c r="D2" s="2" t="n">
        <v>1</v>
      </c>
    </row>
    <row r="3" customFormat="false" ht="13.8" hidden="false" customHeight="false" outlineLevel="0" collapsed="false">
      <c r="A3" s="10" t="s">
        <v>60</v>
      </c>
      <c r="B3" s="10" t="s">
        <v>64</v>
      </c>
      <c r="C3" s="2" t="n">
        <v>5</v>
      </c>
      <c r="D3" s="2" t="n">
        <v>2</v>
      </c>
    </row>
    <row r="4" customFormat="false" ht="13.8" hidden="false" customHeight="false" outlineLevel="0" collapsed="false">
      <c r="A4" s="10" t="s">
        <v>66</v>
      </c>
      <c r="B4" s="10" t="s">
        <v>67</v>
      </c>
      <c r="C4" s="2" t="n">
        <v>9</v>
      </c>
      <c r="D4" s="2" t="n">
        <v>3</v>
      </c>
    </row>
    <row r="5" customFormat="false" ht="13.8" hidden="false" customHeight="false" outlineLevel="0" collapsed="false">
      <c r="A5" s="10" t="s">
        <v>66</v>
      </c>
      <c r="B5" s="10" t="s">
        <v>70</v>
      </c>
      <c r="C5" s="2" t="n">
        <v>9</v>
      </c>
      <c r="D5" s="2" t="n">
        <v>4</v>
      </c>
    </row>
    <row r="6" customFormat="false" ht="13.8" hidden="false" customHeight="false" outlineLevel="0" collapsed="false">
      <c r="A6" s="10" t="s">
        <v>72</v>
      </c>
      <c r="B6" s="10" t="s">
        <v>73</v>
      </c>
      <c r="C6" s="2" t="n">
        <v>7</v>
      </c>
      <c r="D6" s="2" t="n">
        <v>5</v>
      </c>
    </row>
    <row r="7" customFormat="false" ht="13.8" hidden="false" customHeight="false" outlineLevel="0" collapsed="false">
      <c r="A7" s="10" t="s">
        <v>76</v>
      </c>
      <c r="B7" s="10" t="s">
        <v>77</v>
      </c>
      <c r="C7" s="2" t="n">
        <v>7</v>
      </c>
      <c r="D7" s="2" t="n">
        <v>6</v>
      </c>
    </row>
    <row r="8" customFormat="false" ht="13.8" hidden="false" customHeight="false" outlineLevel="0" collapsed="false">
      <c r="A8" s="10" t="s">
        <v>80</v>
      </c>
      <c r="B8" s="10" t="s">
        <v>81</v>
      </c>
      <c r="C8" s="2" t="n">
        <v>3</v>
      </c>
      <c r="D8" s="2" t="n">
        <v>7</v>
      </c>
    </row>
    <row r="9" customFormat="false" ht="13.8" hidden="false" customHeight="false" outlineLevel="0" collapsed="false">
      <c r="A9" s="10" t="s">
        <v>84</v>
      </c>
      <c r="B9" s="10" t="s">
        <v>85</v>
      </c>
      <c r="C9" s="2" t="n">
        <v>4</v>
      </c>
      <c r="D9" s="2" t="n">
        <v>8</v>
      </c>
    </row>
    <row r="10" customFormat="false" ht="13.8" hidden="false" customHeight="false" outlineLevel="0" collapsed="false">
      <c r="A10" s="10" t="s">
        <v>88</v>
      </c>
      <c r="B10" s="10" t="s">
        <v>89</v>
      </c>
      <c r="C10" s="2" t="n">
        <v>2</v>
      </c>
      <c r="D10" s="2" t="n">
        <v>9</v>
      </c>
    </row>
    <row r="11" customFormat="false" ht="13.8" hidden="false" customHeight="false" outlineLevel="0" collapsed="false">
      <c r="A11" s="10" t="s">
        <v>92</v>
      </c>
      <c r="B11" s="10" t="s">
        <v>93</v>
      </c>
      <c r="C11" s="2" t="n">
        <v>9</v>
      </c>
      <c r="D11" s="2" t="n">
        <v>10</v>
      </c>
    </row>
    <row r="12" customFormat="false" ht="13.8" hidden="false" customHeight="false" outlineLevel="0" collapsed="false">
      <c r="A12" s="10" t="s">
        <v>96</v>
      </c>
      <c r="B12" s="10" t="s">
        <v>97</v>
      </c>
      <c r="C12" s="2" t="n">
        <v>2</v>
      </c>
      <c r="D12" s="2" t="n">
        <v>11</v>
      </c>
    </row>
    <row r="13" customFormat="false" ht="13.8" hidden="false" customHeight="false" outlineLevel="0" collapsed="false">
      <c r="A13" s="10" t="s">
        <v>100</v>
      </c>
      <c r="B13" s="10" t="s">
        <v>101</v>
      </c>
      <c r="C13" s="2" t="n">
        <v>3</v>
      </c>
      <c r="D13" s="2" t="n">
        <v>12</v>
      </c>
    </row>
    <row r="14" customFormat="false" ht="13.8" hidden="false" customHeight="false" outlineLevel="0" collapsed="false">
      <c r="A14" s="10" t="s">
        <v>104</v>
      </c>
      <c r="B14" s="10" t="s">
        <v>105</v>
      </c>
      <c r="C14" s="2" t="n">
        <v>1</v>
      </c>
      <c r="D14" s="2" t="n">
        <v>13</v>
      </c>
    </row>
    <row r="15" customFormat="false" ht="13.8" hidden="false" customHeight="false" outlineLevel="0" collapsed="false">
      <c r="A15" s="10" t="s">
        <v>108</v>
      </c>
      <c r="B15" s="10" t="s">
        <v>109</v>
      </c>
      <c r="C15" s="2" t="n">
        <v>5</v>
      </c>
      <c r="D15" s="2" t="n">
        <v>14</v>
      </c>
    </row>
    <row r="16" customFormat="false" ht="13.8" hidden="false" customHeight="false" outlineLevel="0" collapsed="false">
      <c r="A16" s="10" t="s">
        <v>108</v>
      </c>
      <c r="B16" s="10" t="s">
        <v>112</v>
      </c>
      <c r="C16" s="2" t="n">
        <v>5</v>
      </c>
      <c r="D16" s="2" t="n">
        <v>15</v>
      </c>
    </row>
    <row r="17" customFormat="false" ht="13.8" hidden="false" customHeight="false" outlineLevel="0" collapsed="false">
      <c r="A17" s="10" t="s">
        <v>108</v>
      </c>
      <c r="B17" s="10" t="s">
        <v>114</v>
      </c>
      <c r="C17" s="2" t="n">
        <v>5</v>
      </c>
      <c r="D17" s="2" t="n">
        <v>16</v>
      </c>
    </row>
    <row r="18" customFormat="false" ht="13.8" hidden="false" customHeight="false" outlineLevel="0" collapsed="false">
      <c r="A18" s="10" t="s">
        <v>108</v>
      </c>
      <c r="B18" s="10" t="s">
        <v>116</v>
      </c>
      <c r="C18" s="2" t="n">
        <v>5</v>
      </c>
      <c r="D18" s="2" t="n">
        <v>17</v>
      </c>
    </row>
    <row r="19" customFormat="false" ht="13.8" hidden="false" customHeight="false" outlineLevel="0" collapsed="false">
      <c r="A19" s="10" t="s">
        <v>118</v>
      </c>
      <c r="B19" s="10" t="s">
        <v>119</v>
      </c>
      <c r="C19" s="2" t="n">
        <v>1</v>
      </c>
      <c r="D19" s="2" t="n">
        <v>18</v>
      </c>
    </row>
    <row r="20" customFormat="false" ht="13.8" hidden="false" customHeight="false" outlineLevel="0" collapsed="false">
      <c r="A20" s="10" t="s">
        <v>118</v>
      </c>
      <c r="B20" s="10" t="s">
        <v>122</v>
      </c>
      <c r="C20" s="2" t="n">
        <v>1</v>
      </c>
      <c r="D20" s="2" t="n">
        <v>19</v>
      </c>
    </row>
    <row r="21" customFormat="false" ht="13.8" hidden="false" customHeight="false" outlineLevel="0" collapsed="false">
      <c r="A21" s="10" t="s">
        <v>124</v>
      </c>
      <c r="B21" s="10" t="s">
        <v>125</v>
      </c>
      <c r="C21" s="2" t="n">
        <v>7</v>
      </c>
      <c r="D21" s="2" t="n">
        <v>20</v>
      </c>
    </row>
    <row r="22" customFormat="false" ht="13.8" hidden="false" customHeight="false" outlineLevel="0" collapsed="false">
      <c r="A22" s="10" t="s">
        <v>128</v>
      </c>
      <c r="B22" s="10" t="s">
        <v>129</v>
      </c>
      <c r="C22" s="2" t="n">
        <v>9</v>
      </c>
      <c r="D22" s="2" t="n">
        <v>21</v>
      </c>
    </row>
    <row r="23" customFormat="false" ht="13.8" hidden="false" customHeight="false" outlineLevel="0" collapsed="false">
      <c r="A23" s="10" t="s">
        <v>132</v>
      </c>
      <c r="B23" s="10" t="s">
        <v>133</v>
      </c>
      <c r="C23" s="2" t="n">
        <v>2</v>
      </c>
      <c r="D23" s="2" t="n">
        <v>22</v>
      </c>
    </row>
    <row r="24" customFormat="false" ht="13.8" hidden="false" customHeight="false" outlineLevel="0" collapsed="false">
      <c r="A24" s="10" t="s">
        <v>136</v>
      </c>
      <c r="B24" s="10" t="s">
        <v>137</v>
      </c>
      <c r="C24" s="2" t="n">
        <v>4</v>
      </c>
      <c r="D24" s="2" t="n">
        <v>23</v>
      </c>
    </row>
    <row r="25" customFormat="false" ht="13.8" hidden="false" customHeight="false" outlineLevel="0" collapsed="false">
      <c r="A25" s="10" t="s">
        <v>136</v>
      </c>
      <c r="B25" s="10" t="s">
        <v>96</v>
      </c>
      <c r="C25" s="2" t="n">
        <v>4</v>
      </c>
      <c r="D25" s="2" t="n">
        <v>24</v>
      </c>
    </row>
    <row r="26" customFormat="false" ht="13.8" hidden="false" customHeight="false" outlineLevel="0" collapsed="false">
      <c r="A26" s="10" t="s">
        <v>141</v>
      </c>
      <c r="B26" s="10" t="s">
        <v>142</v>
      </c>
      <c r="C26" s="2" t="n">
        <v>7</v>
      </c>
      <c r="D26" s="2" t="n">
        <v>25</v>
      </c>
    </row>
    <row r="27" customFormat="false" ht="13.8" hidden="false" customHeight="false" outlineLevel="0" collapsed="false">
      <c r="A27" s="10" t="s">
        <v>145</v>
      </c>
      <c r="B27" s="10" t="s">
        <v>146</v>
      </c>
      <c r="C27" s="2" t="n">
        <v>3</v>
      </c>
      <c r="D27" s="2" t="n">
        <v>26</v>
      </c>
    </row>
    <row r="28" customFormat="false" ht="13.8" hidden="false" customHeight="false" outlineLevel="0" collapsed="false">
      <c r="A28" s="10" t="s">
        <v>149</v>
      </c>
      <c r="B28" s="10" t="s">
        <v>150</v>
      </c>
      <c r="C28" s="2" t="n">
        <v>4</v>
      </c>
      <c r="D28" s="2" t="n">
        <v>27</v>
      </c>
    </row>
    <row r="29" customFormat="false" ht="13.8" hidden="false" customHeight="false" outlineLevel="0" collapsed="false">
      <c r="A29" s="10" t="s">
        <v>149</v>
      </c>
      <c r="B29" s="10" t="s">
        <v>153</v>
      </c>
      <c r="C29" s="2" t="n">
        <v>4</v>
      </c>
      <c r="D29" s="2" t="n">
        <v>28</v>
      </c>
    </row>
    <row r="30" customFormat="false" ht="13.8" hidden="false" customHeight="false" outlineLevel="0" collapsed="false">
      <c r="A30" s="10" t="s">
        <v>155</v>
      </c>
      <c r="B30" s="10" t="s">
        <v>119</v>
      </c>
      <c r="C30" s="2" t="n">
        <v>5</v>
      </c>
      <c r="D30" s="2" t="n">
        <v>29</v>
      </c>
    </row>
    <row r="31" customFormat="false" ht="13.8" hidden="false" customHeight="false" outlineLevel="0" collapsed="false">
      <c r="A31" s="10" t="s">
        <v>158</v>
      </c>
      <c r="B31" s="10" t="s">
        <v>159</v>
      </c>
      <c r="C31" s="2" t="n">
        <v>6</v>
      </c>
      <c r="D31" s="2" t="n">
        <v>30</v>
      </c>
    </row>
    <row r="32" customFormat="false" ht="13.8" hidden="false" customHeight="false" outlineLevel="0" collapsed="false">
      <c r="A32" s="10" t="s">
        <v>158</v>
      </c>
      <c r="B32" s="10" t="s">
        <v>162</v>
      </c>
      <c r="C32" s="2" t="n">
        <v>6</v>
      </c>
      <c r="D32" s="2" t="n">
        <v>31</v>
      </c>
    </row>
    <row r="33" customFormat="false" ht="13.8" hidden="false" customHeight="false" outlineLevel="0" collapsed="false">
      <c r="A33" s="10" t="s">
        <v>158</v>
      </c>
      <c r="B33" s="10" t="s">
        <v>164</v>
      </c>
      <c r="C33" s="2" t="n">
        <v>6</v>
      </c>
      <c r="D33" s="2" t="n">
        <v>32</v>
      </c>
    </row>
    <row r="34" customFormat="false" ht="13.8" hidden="false" customHeight="false" outlineLevel="0" collapsed="false">
      <c r="A34" s="10" t="s">
        <v>166</v>
      </c>
      <c r="B34" s="10" t="s">
        <v>167</v>
      </c>
      <c r="C34" s="2" t="n">
        <v>9</v>
      </c>
      <c r="D34" s="2" t="n">
        <v>33</v>
      </c>
    </row>
    <row r="35" customFormat="false" ht="13.8" hidden="false" customHeight="false" outlineLevel="0" collapsed="false">
      <c r="A35" s="10" t="s">
        <v>166</v>
      </c>
      <c r="B35" s="10" t="s">
        <v>170</v>
      </c>
      <c r="C35" s="2" t="n">
        <v>9</v>
      </c>
      <c r="D35" s="2" t="n">
        <v>34</v>
      </c>
    </row>
    <row r="36" customFormat="false" ht="13.8" hidden="false" customHeight="false" outlineLevel="0" collapsed="false">
      <c r="A36" s="10" t="s">
        <v>172</v>
      </c>
      <c r="B36" s="10" t="s">
        <v>173</v>
      </c>
      <c r="C36" s="2" t="n">
        <v>1</v>
      </c>
      <c r="D36" s="2" t="n">
        <v>35</v>
      </c>
    </row>
    <row r="37" customFormat="false" ht="13.8" hidden="false" customHeight="false" outlineLevel="0" collapsed="false">
      <c r="A37" s="10" t="s">
        <v>176</v>
      </c>
      <c r="B37" s="10" t="s">
        <v>177</v>
      </c>
      <c r="C37" s="2" t="n">
        <v>5</v>
      </c>
      <c r="D37" s="2" t="n">
        <v>36</v>
      </c>
    </row>
    <row r="38" customFormat="false" ht="13.8" hidden="false" customHeight="false" outlineLevel="0" collapsed="false">
      <c r="A38" s="10" t="s">
        <v>180</v>
      </c>
      <c r="B38" s="10" t="s">
        <v>181</v>
      </c>
      <c r="C38" s="2" t="n">
        <v>1</v>
      </c>
      <c r="D38" s="2" t="n">
        <v>37</v>
      </c>
    </row>
    <row r="39" customFormat="false" ht="13.8" hidden="false" customHeight="false" outlineLevel="0" collapsed="false">
      <c r="A39" s="10" t="s">
        <v>180</v>
      </c>
      <c r="B39" s="10" t="s">
        <v>184</v>
      </c>
      <c r="C39" s="2" t="n">
        <v>1</v>
      </c>
      <c r="D39" s="2" t="n">
        <v>38</v>
      </c>
    </row>
    <row r="40" customFormat="false" ht="13.8" hidden="false" customHeight="false" outlineLevel="0" collapsed="false">
      <c r="A40" s="10" t="s">
        <v>186</v>
      </c>
      <c r="B40" s="10" t="s">
        <v>187</v>
      </c>
      <c r="C40" s="2" t="n">
        <v>3</v>
      </c>
      <c r="D40" s="2" t="n">
        <v>39</v>
      </c>
    </row>
    <row r="41" customFormat="false" ht="13.8" hidden="false" customHeight="false" outlineLevel="0" collapsed="false">
      <c r="A41" s="10" t="s">
        <v>190</v>
      </c>
      <c r="B41" s="10" t="s">
        <v>191</v>
      </c>
      <c r="C41" s="2" t="n">
        <v>8</v>
      </c>
      <c r="D41" s="2" t="n">
        <v>40</v>
      </c>
    </row>
    <row r="42" customFormat="false" ht="13.8" hidden="false" customHeight="false" outlineLevel="0" collapsed="false">
      <c r="A42" s="10" t="s">
        <v>194</v>
      </c>
      <c r="B42" s="10" t="s">
        <v>195</v>
      </c>
      <c r="C42" s="2" t="n">
        <v>8</v>
      </c>
      <c r="D42" s="2" t="n">
        <v>41</v>
      </c>
    </row>
    <row r="43" customFormat="false" ht="13.8" hidden="false" customHeight="false" outlineLevel="0" collapsed="false">
      <c r="A43" s="10" t="s">
        <v>194</v>
      </c>
      <c r="B43" s="10" t="s">
        <v>198</v>
      </c>
      <c r="C43" s="2" t="n">
        <v>8</v>
      </c>
      <c r="D43" s="2" t="n">
        <v>42</v>
      </c>
    </row>
    <row r="44" customFormat="false" ht="13.8" hidden="false" customHeight="false" outlineLevel="0" collapsed="false">
      <c r="A44" s="10" t="s">
        <v>194</v>
      </c>
      <c r="B44" s="10" t="s">
        <v>200</v>
      </c>
      <c r="C44" s="2" t="n">
        <v>8</v>
      </c>
      <c r="D44" s="2" t="n">
        <v>43</v>
      </c>
    </row>
    <row r="45" customFormat="false" ht="13.8" hidden="false" customHeight="false" outlineLevel="0" collapsed="false">
      <c r="A45" s="10" t="s">
        <v>194</v>
      </c>
      <c r="B45" s="10" t="s">
        <v>202</v>
      </c>
      <c r="C45" s="2" t="n">
        <v>8</v>
      </c>
      <c r="D45" s="2" t="n">
        <v>44</v>
      </c>
    </row>
    <row r="46" customFormat="false" ht="13.8" hidden="false" customHeight="false" outlineLevel="0" collapsed="false">
      <c r="A46" s="10" t="s">
        <v>194</v>
      </c>
      <c r="B46" s="10" t="s">
        <v>204</v>
      </c>
      <c r="C46" s="2" t="n">
        <v>8</v>
      </c>
      <c r="D46" s="2" t="n">
        <v>45</v>
      </c>
    </row>
    <row r="47" customFormat="false" ht="13.8" hidden="false" customHeight="false" outlineLevel="0" collapsed="false">
      <c r="A47" s="10" t="s">
        <v>194</v>
      </c>
      <c r="B47" s="10" t="s">
        <v>206</v>
      </c>
      <c r="C47" s="2" t="n">
        <v>8</v>
      </c>
      <c r="D47" s="2" t="n">
        <v>46</v>
      </c>
    </row>
    <row r="48" customFormat="false" ht="13.8" hidden="false" customHeight="false" outlineLevel="0" collapsed="false">
      <c r="A48" s="10" t="s">
        <v>194</v>
      </c>
      <c r="B48" s="10" t="s">
        <v>208</v>
      </c>
      <c r="C48" s="2" t="n">
        <v>8</v>
      </c>
      <c r="D48" s="2" t="n">
        <v>47</v>
      </c>
    </row>
    <row r="49" customFormat="false" ht="13.8" hidden="false" customHeight="false" outlineLevel="0" collapsed="false">
      <c r="A49" s="10" t="s">
        <v>210</v>
      </c>
      <c r="B49" s="10" t="s">
        <v>211</v>
      </c>
      <c r="C49" s="2" t="n">
        <v>2</v>
      </c>
      <c r="D49" s="2" t="n">
        <v>48</v>
      </c>
    </row>
    <row r="50" customFormat="false" ht="13.8" hidden="false" customHeight="false" outlineLevel="0" collapsed="false">
      <c r="A50" s="10" t="s">
        <v>214</v>
      </c>
      <c r="B50" s="10" t="s">
        <v>153</v>
      </c>
      <c r="C50" s="2" t="n">
        <v>2</v>
      </c>
      <c r="D50" s="2" t="n">
        <v>49</v>
      </c>
    </row>
    <row r="51" customFormat="false" ht="13.8" hidden="false" customHeight="false" outlineLevel="0" collapsed="false">
      <c r="A51" s="10" t="s">
        <v>214</v>
      </c>
      <c r="B51" s="10" t="s">
        <v>217</v>
      </c>
      <c r="C51" s="2" t="n">
        <v>2</v>
      </c>
      <c r="D51" s="2" t="n">
        <v>50</v>
      </c>
    </row>
    <row r="52" customFormat="false" ht="13.8" hidden="false" customHeight="false" outlineLevel="0" collapsed="false">
      <c r="A52" s="10" t="s">
        <v>219</v>
      </c>
      <c r="B52" s="10" t="s">
        <v>220</v>
      </c>
      <c r="C52" s="2" t="n">
        <v>3</v>
      </c>
      <c r="D52" s="2" t="n">
        <v>51</v>
      </c>
    </row>
    <row r="53" customFormat="false" ht="13.8" hidden="false" customHeight="false" outlineLevel="0" collapsed="false">
      <c r="A53" s="10" t="s">
        <v>223</v>
      </c>
      <c r="B53" s="10" t="s">
        <v>224</v>
      </c>
      <c r="C53" s="2" t="n">
        <v>8</v>
      </c>
      <c r="D53" s="2" t="n">
        <v>52</v>
      </c>
    </row>
    <row r="54" customFormat="false" ht="13.8" hidden="false" customHeight="false" outlineLevel="0" collapsed="false">
      <c r="A54" s="10" t="s">
        <v>227</v>
      </c>
      <c r="B54" s="10" t="s">
        <v>228</v>
      </c>
      <c r="C54" s="2" t="n">
        <v>7</v>
      </c>
      <c r="D54" s="2" t="n">
        <v>53</v>
      </c>
    </row>
    <row r="55" customFormat="false" ht="13.8" hidden="false" customHeight="false" outlineLevel="0" collapsed="false">
      <c r="A55" s="10" t="s">
        <v>227</v>
      </c>
      <c r="B55" s="10" t="s">
        <v>231</v>
      </c>
      <c r="C55" s="2" t="n">
        <v>7</v>
      </c>
      <c r="D55" s="2" t="n">
        <v>54</v>
      </c>
    </row>
    <row r="56" customFormat="false" ht="13.8" hidden="false" customHeight="false" outlineLevel="0" collapsed="false">
      <c r="A56" s="10" t="s">
        <v>233</v>
      </c>
      <c r="B56" s="10" t="s">
        <v>234</v>
      </c>
      <c r="C56" s="2" t="n">
        <v>7</v>
      </c>
      <c r="D56" s="2" t="n">
        <v>55</v>
      </c>
    </row>
    <row r="57" customFormat="false" ht="13.8" hidden="false" customHeight="false" outlineLevel="0" collapsed="false">
      <c r="A57" s="10" t="s">
        <v>237</v>
      </c>
      <c r="B57" s="10" t="s">
        <v>122</v>
      </c>
      <c r="C57" s="2" t="n">
        <v>7</v>
      </c>
      <c r="D57" s="2" t="n">
        <v>56</v>
      </c>
    </row>
    <row r="58" customFormat="false" ht="13.8" hidden="false" customHeight="false" outlineLevel="0" collapsed="false">
      <c r="A58" s="10" t="s">
        <v>240</v>
      </c>
      <c r="B58" s="10" t="s">
        <v>241</v>
      </c>
      <c r="C58" s="2" t="n">
        <v>1</v>
      </c>
      <c r="D58" s="2" t="n">
        <v>57</v>
      </c>
    </row>
    <row r="59" customFormat="false" ht="13.8" hidden="false" customHeight="false" outlineLevel="0" collapsed="false">
      <c r="A59" s="10" t="s">
        <v>240</v>
      </c>
      <c r="B59" s="10" t="s">
        <v>244</v>
      </c>
      <c r="C59" s="2" t="n">
        <v>1</v>
      </c>
      <c r="D59" s="2" t="n">
        <v>58</v>
      </c>
    </row>
    <row r="60" customFormat="false" ht="13.8" hidden="false" customHeight="false" outlineLevel="0" collapsed="false">
      <c r="A60" s="10" t="s">
        <v>246</v>
      </c>
      <c r="B60" s="10" t="s">
        <v>247</v>
      </c>
      <c r="C60" s="2" t="n">
        <v>9</v>
      </c>
      <c r="D60" s="2" t="n">
        <v>59</v>
      </c>
    </row>
    <row r="61" customFormat="false" ht="13.8" hidden="false" customHeight="false" outlineLevel="0" collapsed="false">
      <c r="A61" s="10" t="s">
        <v>246</v>
      </c>
      <c r="B61" s="10" t="s">
        <v>250</v>
      </c>
      <c r="C61" s="2" t="n">
        <v>9</v>
      </c>
      <c r="D61" s="2" t="n">
        <v>60</v>
      </c>
    </row>
    <row r="62" customFormat="false" ht="13.8" hidden="false" customHeight="false" outlineLevel="0" collapsed="false">
      <c r="A62" s="10" t="s">
        <v>252</v>
      </c>
      <c r="B62" s="10" t="s">
        <v>247</v>
      </c>
      <c r="C62" s="2" t="n">
        <v>6</v>
      </c>
      <c r="D62" s="2" t="n">
        <v>61</v>
      </c>
    </row>
    <row r="63" customFormat="false" ht="13.8" hidden="false" customHeight="false" outlineLevel="0" collapsed="false">
      <c r="A63" s="10" t="s">
        <v>255</v>
      </c>
      <c r="B63" s="10" t="s">
        <v>256</v>
      </c>
      <c r="C63" s="2" t="n">
        <v>9</v>
      </c>
      <c r="D63" s="2" t="n">
        <v>62</v>
      </c>
    </row>
    <row r="64" customFormat="false" ht="13.8" hidden="false" customHeight="false" outlineLevel="0" collapsed="false">
      <c r="A64" s="10" t="s">
        <v>255</v>
      </c>
      <c r="B64" s="10" t="s">
        <v>259</v>
      </c>
      <c r="C64" s="2" t="n">
        <v>10</v>
      </c>
      <c r="D64" s="2" t="n">
        <v>63</v>
      </c>
    </row>
    <row r="65" customFormat="false" ht="13.8" hidden="false" customHeight="false" outlineLevel="0" collapsed="false">
      <c r="A65" s="10" t="s">
        <v>255</v>
      </c>
      <c r="B65" s="10" t="s">
        <v>261</v>
      </c>
      <c r="C65" s="2" t="n">
        <v>10</v>
      </c>
      <c r="D65" s="2" t="n">
        <v>64</v>
      </c>
    </row>
    <row r="66" customFormat="false" ht="13.8" hidden="false" customHeight="false" outlineLevel="0" collapsed="false">
      <c r="A66" s="10" t="s">
        <v>255</v>
      </c>
      <c r="B66" s="10" t="s">
        <v>263</v>
      </c>
      <c r="C66" s="2" t="n">
        <v>10</v>
      </c>
      <c r="D66" s="2" t="n">
        <v>65</v>
      </c>
    </row>
    <row r="67" customFormat="false" ht="13.8" hidden="false" customHeight="false" outlineLevel="0" collapsed="false">
      <c r="A67" s="10" t="s">
        <v>265</v>
      </c>
      <c r="B67" s="10" t="s">
        <v>217</v>
      </c>
      <c r="C67" s="2" t="n">
        <v>6</v>
      </c>
      <c r="D67" s="2" t="n">
        <v>66</v>
      </c>
    </row>
    <row r="68" customFormat="false" ht="13.8" hidden="false" customHeight="false" outlineLevel="0" collapsed="false">
      <c r="A68" s="10" t="s">
        <v>268</v>
      </c>
      <c r="B68" s="10" t="s">
        <v>217</v>
      </c>
      <c r="C68" s="2" t="n">
        <v>3</v>
      </c>
      <c r="D68" s="2" t="n">
        <v>67</v>
      </c>
    </row>
    <row r="69" customFormat="false" ht="13.8" hidden="false" customHeight="false" outlineLevel="0" collapsed="false">
      <c r="A69" s="10" t="s">
        <v>271</v>
      </c>
      <c r="B69" s="10" t="s">
        <v>272</v>
      </c>
      <c r="C69" s="2" t="n">
        <v>4</v>
      </c>
      <c r="D69" s="2" t="n">
        <v>68</v>
      </c>
    </row>
    <row r="70" customFormat="false" ht="13.8" hidden="false" customHeight="false" outlineLevel="0" collapsed="false">
      <c r="A70" s="10" t="s">
        <v>275</v>
      </c>
      <c r="B70" s="10" t="s">
        <v>276</v>
      </c>
      <c r="C70" s="2" t="n">
        <v>6</v>
      </c>
      <c r="D70" s="2" t="n">
        <v>69</v>
      </c>
    </row>
    <row r="71" customFormat="false" ht="13.8" hidden="false" customHeight="false" outlineLevel="0" collapsed="false">
      <c r="A71" s="10" t="s">
        <v>275</v>
      </c>
      <c r="B71" s="10" t="s">
        <v>279</v>
      </c>
      <c r="C71" s="2" t="n">
        <v>4</v>
      </c>
      <c r="D71" s="2" t="n">
        <v>70</v>
      </c>
    </row>
    <row r="72" customFormat="false" ht="13.8" hidden="false" customHeight="false" outlineLevel="0" collapsed="false">
      <c r="A72" s="10" t="s">
        <v>275</v>
      </c>
      <c r="B72" s="10" t="s">
        <v>281</v>
      </c>
      <c r="C72" s="2" t="n">
        <v>4</v>
      </c>
      <c r="D72" s="2" t="n">
        <v>71</v>
      </c>
    </row>
    <row r="73" customFormat="false" ht="13.8" hidden="false" customHeight="false" outlineLevel="0" collapsed="false">
      <c r="A73" s="10" t="s">
        <v>283</v>
      </c>
      <c r="B73" s="10" t="s">
        <v>284</v>
      </c>
      <c r="C73" s="2" t="n">
        <v>2</v>
      </c>
      <c r="D73" s="2" t="n">
        <v>72</v>
      </c>
    </row>
    <row r="74" customFormat="false" ht="13.8" hidden="false" customHeight="false" outlineLevel="0" collapsed="false">
      <c r="A74" s="10" t="s">
        <v>287</v>
      </c>
      <c r="B74" s="10" t="s">
        <v>177</v>
      </c>
      <c r="C74" s="2" t="n">
        <v>2</v>
      </c>
      <c r="D74" s="2" t="n">
        <v>73</v>
      </c>
    </row>
    <row r="75" customFormat="false" ht="13.8" hidden="false" customHeight="false" outlineLevel="0" collapsed="false">
      <c r="A75" s="10" t="s">
        <v>287</v>
      </c>
      <c r="B75" s="10" t="s">
        <v>290</v>
      </c>
      <c r="C75" s="2" t="n">
        <v>9</v>
      </c>
      <c r="D75" s="2" t="n">
        <v>74</v>
      </c>
    </row>
    <row r="76" customFormat="false" ht="13.8" hidden="false" customHeight="false" outlineLevel="0" collapsed="false">
      <c r="A76" s="10" t="s">
        <v>292</v>
      </c>
      <c r="B76" s="10" t="s">
        <v>293</v>
      </c>
      <c r="C76" s="2" t="n">
        <v>6</v>
      </c>
      <c r="D76" s="2" t="n">
        <v>75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DataMashup xmlns="http://schemas.microsoft.com/DataMashup" sqmid="a22d82e9-c8b1-4d81-9066-62145bc827f6">AAAAABQGAABQSwMEFAACAAgAgZOkWiTsh6SkAAAA9gAAABIAHABDb25maWcvUGFja2FnZS54bWwgohgAKKAUAAAAAAAAAAAAAAAAAAAAAAAAAAAAhY9NDoIwGESvQrqnfxpjSCkLt5KYEI3bplZohA9Di+VuLjySVxCjqDuX8+YtZu7Xm8iGpo4upnO2hRQxTFFkQLcHC2WKen+MlyiTYqP0SZUmGmVwyeAOKaq8PyeEhBBwmOG2KwmnlJF9vi50ZRqFPrL9L8cWnFegDZJi9xojOWZzhheUYyrIBEVu4Svwce+z/YFi1de+74w0EG8LQaYoyPuDfABQSwMEFAACAAgAgZOkWg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IGTpFrDrMy5DgMAAJgLAAATABwARm9ybXVsYXMvU2VjdGlvbjEubSCiGAAooBQAAAAAAAAAAAAAAAAAAAAAAAAAAADlVm1r2lAU/i74Hy63MCJk0tiue+k6iCbaMKtiUspQGaneaWi8V5KbTpHC/sP+4X7JTl5qrnmRlrWfFoTgOTnnPOd5zn3xyZQ7jCIzfivn1Uq14i9sj8xQJyA+99EFcgmvVhA8Jgu8KQGLvp4St37DvLtbxu6ktuOSeotRTij3Jdz6NL72ieePB2Q+34z7lGiec0/GGvHvOFuNO7Zro8Zx4x1SOYTMCPHra9df45qMaOC6MuJeQGpyUnRBCFe+Ry8oHWPYjgxOlhc4dmL5q0NnyT88eRhpNrcnSfwRHnhsyTh0dEnsGeDCkMaybwFz4knsklhKRqPEq7quOQXInn8R4prUdolbC5vOIa+1WZE0qeXZ1P/BvGWLucGShk5fKkAhb7dY7Q4u1aZuGS21i7qGaaF+G6mWpfc0XTeRTSG52uzq6Aj9+fUbddSuGjGHgSPIizhZ8wcZbXFcq1FiPymxn5bYd/ltuhHMZ8Xm9yVZPhR//rHYrByL9oeUZZguTsKBHLKfgnYmcWFoQ5uUUUJGxJ4ukDRKSJmgz1+iwaqlSYeE2ksIiD8R0saOxCxlq/+jZrhtDOH7nnql44xsuKsWeE7SoDeo8IvTXWxLHZg4oxZOkGCR0CFZsvvi3kNH2nuWJFlUXBBZEDYVc68g82YRiQUlI5dYcx+cLM6kQNI+mYUs7REjclE6Bkr5HOR7CGdBgNZ0ZuDPUG0yj+cnF4x5dpUooYi+Hxasq/4U9kiHzg9IqJRrKCIALlOUaTIVTDNkwEa8TvOAMbLEmfLCKGHPcYyMlOhnUH52Wg+X4AHplQPai0AA62P211a98QzVY5V2yJqGpunD3PrKBDUOznsGCzRe3lQxCY8tioD2d4UUnBasXGdq813JFNvOJWie66SM85wRvYWg1QbXqhWHllcXbxzhmf7KF44gvu9Elf7XS0eyRWNxxUbnhmHpVzAwlt7pD7/FR9uNYV2i3vVVUx+a+ZvHi5zST6m6O8Kj4/XpIRjFD36Zoz9lDoejEK77Z/AWx/SgRrhdiMsiC+n8L1BLAQItABQAAgAIAIGTpFok7IekpAAAAPYAAAASAAAAAAAAAAAAAAAAAAAAAABDb25maWcvUGFja2FnZS54bWxQSwECLQAUAAIACACBk6RaD8rpq6QAAADpAAAAEwAAAAAAAAAAAAAAAADwAAAAW0NvbnRlbnRfVHlwZXNdLnhtbFBLAQItABQAAgAIAIGTpFrDrMy5DgMAAJgLAAATAAAAAAAAAAAAAAAAAOEBAABGb3JtdWxhcy9TZWN0aW9uMS5tUEsFBgAAAAADAAMAwgAAADwFAAAAABABAADvu788P3htbCB2ZXJzaW9uPSIxLjAiIGVuY29kaW5nPSJ1dGYtOCI/PjxQZXJtaXNzaW9uTGlzdCB4bWxuczp4c2Q9Imh0dHA6Ly93d3cudzMub3JnLzIwMDEvWE1MU2NoZW1hIiB4bWxuczp4c2k9Imh0dHA6Ly93d3cudzMub3JnLzIwMDEvWE1MU2NoZW1hLWluc3RhbmNlIj48Q2FuRXZhbHVhdGVGdXR1cmVQYWNrYWdlcz5mYWxzZTwvQ2FuRXZhbHVhdGVGdXR1cmVQYWNrYWdlcz48RmlyZXdhbGxFbmFibGVkPnRydWU8L0ZpcmV3YWxsRW5hYmxlZD48L1Blcm1pc3Npb25MaXN0PnodAAAAAAAAWB0AAO+7vzw/eG1sIHZlcnNpb249IjEuMCIgZW5jb2Rpbmc9InV0Zi04Ij8+PExvY2FsUGFja2FnZU1ldGFkYXRhRmlsZSB4bWxuczp4c2Q9Imh0dHA6Ly93d3cudzMub3JnLzIwMDEvWE1MU2NoZW1hIiB4bWxuczp4c2k9Imh0dHA6Ly93d3cudzMub3JnLzIwMDEvWE1MU2NoZW1hLWluc3RhbmNlIj48SXRlbXM+PEl0ZW0+PEl0ZW1Mb2NhdGlvbj48SXRlbVR5cGU+QWxsRm9ybXVsYXM8L0l0ZW1UeXBlPjxJdGVtUGF0aCAvPjwvSXRlbUxvY2F0aW9uPjxTdGFibGVFbnRyaWVzPjxFbnRyeSBUeXBlPSJSZWxhdGlvbnNoaXBzIiBWYWx1ZT0ic0FBQUFBQT09IiAvPjwvU3RhYmxlRW50cmllcz48L0l0ZW0+PEl0ZW0+PEl0ZW1Mb2NhdGlvbj48SXRlbVR5cGU+Rm9ybXVsYTwvSXRlbVR5cGU+PEl0ZW1QYXRoPlNlY3Rpb24xL0d1ZXN0czwvSXRlbVBhdGg+PC9JdGVtTG9jYXRpb24+PFN0YWJsZUVudHJpZXM+PEVudHJ5IFR5cGU9IklzUHJpdmF0ZSIgVmFsdWU9ImwwIiAvPjxFbnRyeSBUeXBlPSJRdWVyeUlEIiBWYWx1ZT0iczRmNzkzY2JhLTllMDEtNGQyOC05Y2E0LWMzNTFhN2UwYzY0NyIgLz48RW50cnkgVHlwZT0iRmlsbEVuYWJsZWQiIFZhbHVlPSJsMSIgLz48RW50cnkgVHlwZT0iRmlsbE9iamVjdFR5cGUiIFZhbHVlPSJzVGFibGUiIC8+PEVudHJ5IFR5cGU9IkZpbGxUb0RhdGFNb2RlbEVuYWJsZWQiIFZhbHVlPSJsMCIgLz48RW50cnkgVHlwZT0iQnVmZmVyTmV4dFJlZnJlc2giIFZhbHVlPSJsMSIgLz48RW50cnkgVHlwZT0iUmVzdWx0VHlwZSIgVmFsdWU9InNUYWJsZSIgLz48RW50cnkgVHlwZT0iTmFtZVVwZGF0ZWRBZnRlckZpbGwiIFZhbHVlPSJsMCIgLz48RW50cnkgVHlwZT0iTmF2aWdhdGlvblN0ZXBOYW1lIiBWYWx1ZT0ic05hdmlnYXRpb24iIC8+PEVudHJ5IFR5cGU9IkZpbGxUYXJnZXQiIFZhbHVlPSJzR3Vlc3RzIiAvPjxFbnRyeSBUeXBlPSJGaWxsZWRDb21wbGV0ZVJlc3VsdFRvV29ya3NoZWV0IiBWYWx1ZT0ibDEiIC8+PEVudHJ5IFR5cGU9IkZpbGxMYXN0VXBkYXRlZCIgVmFsdWU9ImQyMDI1LTA1LTA1VDAxOjI4OjAyLjQ0MTE2NjRaIiAvPjxFbnRyeSBUeXBlPSJGaWxsRXJyb3JDb3VudCIgVmFsdWU9ImwwIiAvPjxFbnRyeSBUeXBlPSJGaWxsRXJyb3JDb2RlIiBWYWx1ZT0ic1Vua25vd24iIC8+PEVudHJ5IFR5cGU9IkZpbGxDb2x1bW5UeXBlcyIgVmFsdWU9InNCZ1lHQUFNR0JnPT0iIC8+PEVudHJ5IFR5cGU9IkZpbGxDb3VudCIgVmFsdWU9Imw3NSIgLz48RW50cnkgVHlwZT0iRmlsbENvbHVtbk5hbWVzIiBWYWx1ZT0ic1smcXVvdDtGSVJTVCBcdTAwMjYgTEFTVCBOQU1FJnF1b3Q7LCZxdW90O0xBU1QgTkFNRSZxdW90OywmcXVvdDtGSVJTVCBOQU1FJnF1b3Q7LCZxdW90O1RBQkxFICMmcXVvdDssJnF1b3Q7QklEREVSICMmcXVvdDssJnF1b3Q7TEFTVCBDQVBTJnF1b3Q7LCZxdW90O0ZJUlNUIFx1MDAyNiBMQVNUIE5BTUUgLSBDb3B5JnF1b3Q7XSIgLz48RW50cnkgVHlwZT0iRmlsbFN0YXR1cyIgVmFsdWU9InNDb21wbGV0ZSIgLz48RW50cnkgVHlwZT0iUmVsYXRpb25zaGlwSW5mb0NvbnRhaW5lciIgVmFsdWU9InN7JnF1b3Q7Y29sdW1uQ291bnQmcXVvdDs6NywmcXVvdDtrZXlDb2x1bW5OYW1lcyZxdW90OzpbXSwmcXVvdDtxdWVyeVJlbGF0aW9uc2hpcHMmcXVvdDs6W10sJnF1b3Q7Y29sdW1uSWRlbnRpdGllcyZxdW90OzpbJnF1b3Q7U2VjdGlvbjEvR3Vlc3RzL0F1dG9SZW1vdmVkQ29sdW1uczEue0ZJUlNUIFx1MDAyNiBMQVNUIE5BTUUsMH0mcXVvdDssJnF1b3Q7U2VjdGlvbjEvR3Vlc3RzL0F1dG9SZW1vdmVkQ29sdW1uczEue0xBU1QgTkFNRSwxfSZxdW90OywmcXVvdDtTZWN0aW9uMS9HdWVzdHMvQXV0b1JlbW92ZWRDb2x1bW5zMS57RklSU1QgTkFNRSwyfSZxdW90OywmcXVvdDtTZWN0aW9uMS9HdWVzdHMvQXV0b1JlbW92ZWRDb2x1bW5zMS57VEFCTEUgIywzfSZxdW90OywmcXVvdDtTZWN0aW9uMS9HdWVzdHMvQXV0b1JlbW92ZWRDb2x1bW5zMS57QklEREVSICMsNH0mcXVvdDssJnF1b3Q7U2VjdGlvbjEvR3Vlc3RzL0F1dG9SZW1vdmVkQ29sdW1uczEue0xBU1QgQ0FQUyw1fSZxdW90OywmcXVvdDtTZWN0aW9uMS9HdWVzdHMvQXV0b1JlbW92ZWRDb2x1bW5zMS57RklSU1QgXHUwMDI2IExBU1QgTkFNRSAtIENvcHksNn0mcXVvdDtdLCZxdW90O0NvbHVtbkNvdW50JnF1b3Q7OjcsJnF1b3Q7S2V5Q29sdW1uTmFtZXMmcXVvdDs6W10sJnF1b3Q7Q29sdW1uSWRlbnRpdGllcyZxdW90OzpbJnF1b3Q7U2VjdGlvbjEvR3Vlc3RzL0F1dG9SZW1vdmVkQ29sdW1uczEue0ZJUlNUIFx1MDAyNiBMQVNUIE5BTUUsMH0mcXVvdDssJnF1b3Q7U2VjdGlvbjEvR3Vlc3RzL0F1dG9SZW1vdmVkQ29sdW1uczEue0xBU1QgTkFNRSwxfSZxdW90OywmcXVvdDtTZWN0aW9uMS9HdWVzdHMvQXV0b1JlbW92ZWRDb2x1bW5zMS57RklSU1QgTkFNRSwyfSZxdW90OywmcXVvdDtTZWN0aW9uMS9HdWVzdHMvQXV0b1JlbW92ZWRDb2x1bW5zMS57VEFCTEUgIywzfSZxdW90OywmcXVvdDtTZWN0aW9uMS9HdWVzdHMvQXV0b1JlbW92ZWRDb2x1bW5zMS57QklEREVSICMsNH0mcXVvdDssJnF1b3Q7U2VjdGlvbjEvR3Vlc3RzL0F1dG9SZW1vdmVkQ29sdW1uczEue0xBU1QgQ0FQUyw1fSZxdW90OywmcXVvdDtTZWN0aW9uMS9HdWVzdHMvQXV0b1JlbW92ZWRDb2x1bW5zMS57RklSU1QgXHUwMDI2IExBU1QgTkFNRSAtIENvcHksNn0mcXVvdDtdLCZxdW90O1JlbGF0aW9uc2hpcEluZm8mcXVvdDs6W119IiAvPjxFbnRyeSBUeXBlPSJBZGRlZFRvRGF0YU1vZGVsIiBWYWx1ZT0ibDAiIC8+PC9TdGFibGVFbnRyaWVzPjwvSXRlbT48SXRlbT48SXRlbUxvY2F0aW9uPjxJdGVtVHlwZT5Gb3JtdWxhPC9JdGVtVHlwZT48SXRlbVBhdGg+U2VjdGlvbjEvR3Vlc3RzL1NvdXJjZTwvSXRlbVBhdGg+PC9JdGVtTG9jYXRpb24+PFN0YWJsZUVudHJpZXMgLz48L0l0ZW0+PEl0ZW0+PEl0ZW1Mb2NhdGlvbj48SXRlbVR5cGU+Rm9ybXVsYTwvSXRlbVR5cGU+PEl0ZW1QYXRoPlNlY3Rpb24xL0d1ZXN0cy9TaGVldDFfU2hlZXQ8L0l0ZW1QYXRoPjwvSXRlbUxvY2F0aW9uPjxTdGFibGVFbnRyaWVzIC8+PC9JdGVtPjxJdGVtPjxJdGVtTG9jYXRpb24+PEl0ZW1UeXBlPkZvcm11bGE8L0l0ZW1UeXBlPjxJdGVtUGF0aD5TZWN0aW9uMS9HdWVzdHMvUHJvbW90ZWQlMjBIZWFkZXJzPC9JdGVtUGF0aD48L0l0ZW1Mb2NhdGlvbj48U3RhYmxlRW50cmllcyAvPjwvSXRlbT48SXRlbT48SXRlbUxvY2F0aW9uPjxJdGVtVHlwZT5Gb3JtdWxhPC9JdGVtVHlwZT48SXRlbVBhdGg+U2VjdGlvbjEvR3Vlc3RzL0NoYW5nZWQlMjBUeXBlPC9JdGVtUGF0aD48L0l0ZW1Mb2NhdGlvbj48U3RhYmxlRW50cmllcyAvPjwvSXRlbT48SXRlbT48SXRlbUxvY2F0aW9uPjxJdGVtVHlwZT5Gb3JtdWxhPC9JdGVtVHlwZT48SXRlbVBhdGg+U2VjdGlvbjEvR3Vlc3RzL0ZpbHRlcmVkJTIwUm93czwvSXRlbVBhdGg+PC9JdGVtTG9jYXRpb24+PFN0YWJsZUVudHJpZXMgLz48L0l0ZW0+PEl0ZW0+PEl0ZW1Mb2NhdGlvbj48SXRlbVR5cGU+Rm9ybXVsYTwvSXRlbVR5cGU+PEl0ZW1QYXRoPlNlY3Rpb24xL0d1ZXN0cy9SZW5hbWVkJTIwQ29sdW1uczwvSXRlbVBhdGg+PC9JdGVtTG9jYXRpb24+PFN0YWJsZUVudHJpZXMgLz48L0l0ZW0+PEl0ZW0+PEl0ZW1Mb2NhdGlvbj48SXRlbVR5cGU+Rm9ybXVsYTwvSXRlbVR5cGU+PEl0ZW1QYXRoPlNlY3Rpb24xL0d1ZXN0cy9SZW1vdmVkJTIwQ29sdW1uczwvSXRlbVBhdGg+PC9JdGVtTG9jYXRpb24+PFN0YWJsZUVudHJpZXMgLz48L0l0ZW0+PEl0ZW0+PEl0ZW1Mb2NhdGlvbj48SXRlbVR5cGU+Rm9ybXVsYTwvSXRlbVR5cGU+PEl0ZW1QYXRoPlNlY3Rpb24xL0d1ZXN0cy9SZW9yZGVyZWQlMjBDb2x1bW5zPC9JdGVtUGF0aD48L0l0ZW1Mb2NhdGlvbj48U3RhYmxlRW50cmllcyAvPjwvSXRlbT48SXRlbT48SXRlbUxvY2F0aW9uPjxJdGVtVHlwZT5Gb3JtdWxhPC9JdGVtVHlwZT48SXRlbVBhdGg+U2VjdGlvbjEvR3Vlc3RzL1JlbmFtZWQlMjBDb2x1bW5zMTwvSXRlbVBhdGg+PC9JdGVtTG9jYXRpb24+PFN0YWJsZUVudHJpZXMgLz48L0l0ZW0+PEl0ZW0+PEl0ZW1Mb2NhdGlvbj48SXRlbVR5cGU+Rm9ybXVsYTwvSXRlbVR5cGU+PEl0ZW1QYXRoPlNlY3Rpb24xL0d1ZXN0cy9Tb3J0ZWQlMjBSb3dzPC9JdGVtUGF0aD48L0l0ZW1Mb2NhdGlvbj48U3RhYmxlRW50cmllcyAvPjwvSXRlbT48SXRlbT48SXRlbUxvY2F0aW9uPjxJdGVtVHlwZT5Gb3JtdWxhPC9JdGVtVHlwZT48SXRlbVBhdGg+U2VjdGlvbjEvR3Vlc3RzL1JlbW92ZWQlMjBDb2x1bW5zMTwvSXRlbVBhdGg+PC9JdGVtTG9jYXRpb24+PFN0YWJsZUVudHJpZXMgLz48L0l0ZW0+PEl0ZW0+PEl0ZW1Mb2NhdGlvbj48SXRlbVR5cGU+Rm9ybXVsYTwvSXRlbVR5cGU+PEl0ZW1QYXRoPlNlY3Rpb24xL0d1ZXN0cy9BZGRlZCUyMEluZGV4PC9JdGVtUGF0aD48L0l0ZW1Mb2NhdGlvbj48U3RhYmxlRW50cmllcyAvPjwvSXRlbT48SXRlbT48SXRlbUxvY2F0aW9uPjxJdGVtVHlwZT5Gb3JtdWxhPC9JdGVtVHlwZT48SXRlbVBhdGg+U2VjdGlvbjEvR3Vlc3RzL1Jlb3JkZXJlZCUyMENvbHVtbnMxPC9JdGVtUGF0aD48L0l0ZW1Mb2NhdGlvbj48U3RhYmxlRW50cmllcyAvPjwvSXRlbT48SXRlbT48SXRlbUxvY2F0aW9uPjxJdGVtVHlwZT5Gb3JtdWxhPC9JdGVtVHlwZT48SXRlbVBhdGg+U2VjdGlvbjEvR3Vlc3RzL1JlbmFtZWQlMjBDb2x1bW5zMjwvSXRlbVBhdGg+PC9JdGVtTG9jYXRpb24+PFN0YWJsZUVudHJpZXMgLz48L0l0ZW0+PEl0ZW0+PEl0ZW1Mb2NhdGlvbj48SXRlbVR5cGU+Rm9ybXVsYTwvSXRlbVR5cGU+PEl0ZW1QYXRoPlNlY3Rpb24xL0d1ZXN0cy9SZW9yZGVyZWQlMjBDb2x1bW5zMjwvSXRlbVBhdGg+PC9JdGVtTG9jYXRpb24+PFN0YWJsZUVudHJpZXMgLz48L0l0ZW0+PEl0ZW0+PEl0ZW1Mb2NhdGlvbj48SXRlbVR5cGU+Rm9ybXVsYTwvSXRlbVR5cGU+PEl0ZW1QYXRoPlNlY3Rpb24xL0l0ZW1zPC9JdGVtUGF0aD48L0l0ZW1Mb2NhdGlvbj48U3RhYmxlRW50cmllcz48RW50cnkgVHlwZT0iSXNQcml2YXRlIiBWYWx1ZT0ibDAiIC8+PEVudHJ5IFR5cGU9IlF1ZXJ5SUQiIFZhbHVlPSJzYWY2MGJjY2MtOTNiOS00MzJjLTg4ODEtN2VjMGQ3Nzg2MTBlIiAvPjxFbnRyeSBUeXBlPSJGaWxsRW5hYmxlZCIgVmFsdWU9ImwxIiAvPjxFbnRyeSBUeXBlPSJGaWxsT2JqZWN0VHlwZSIgVmFsdWU9InNUYWJsZSIgLz48RW50cnkgVHlwZT0iRmlsbFRvRGF0YU1vZGVsRW5hYmxlZCIgVmFsdWU9ImwwIiAvPjxFbnRyeSBUeXBlPSJOYXZpZ2F0aW9uU3RlcE5hbWUiIFZhbHVlPSJzTmF2aWdhdGlvbiIgLz48RW50cnkgVHlwZT0iTmFtZVVwZGF0ZWRBZnRlckZpbGwiIFZhbHVlPSJsMCIgLz48RW50cnkgVHlwZT0iUmVzdWx0VHlwZSIgVmFsdWU9InNUYWJsZSIgLz48RW50cnkgVHlwZT0iQnVmZmVyTmV4dFJlZnJlc2giIFZhbHVlPSJsMSIgLz48RW50cnkgVHlwZT0iRmlsbFRhcmdldCIgVmFsdWU9InNJdGVtcyIgLz48RW50cnkgVHlwZT0iRmlsbGVkQ29tcGxldGVSZXN1bHRUb1dvcmtzaGVldCIgVmFsdWU9ImwxIiAvPjxFbnRyeSBUeXBlPSJGaWxsRXJyb3JDb3VudCIgVmFsdWU9ImwwIiAvPjxFbnRyeSBUeXBlPSJGaWxsTGFzdFVwZGF0ZWQiIFZhbHVlPSJkMjAyNS0wNS0wNVQwMToyODowMi40MTAwODQ4WiIgLz48RW50cnkgVHlwZT0iRmlsbEVycm9yQ29kZSIgVmFsdWU9InNVbmtub3duIiAvPjxFbnRyeSBUeXBlPSJGaWxsQ29sdW1uVHlwZXMiIFZhbHVlPSJzQXdZPSIgLz48RW50cnkgVHlwZT0iRmlsbENvdW50IiBWYWx1ZT0ibDgyIiAvPjxFbnRyeSBUeXBlPSJGaWxsQ29sdW1uTmFtZXMiIFZhbHVlPSJzWyZxdW90O0l0ZW0gIyZxdW90OywmcXVvdDtJdGVtIE5hbWUmcXVvdDtdIiAvPjxFbnRyeSBUeXBlPSJGaWxsU3RhdHVzIiBWYWx1ZT0ic0NvbXBsZXRlIiAvPjxFbnRyeSBUeXBlPSJSZWxhdGlvbnNoaXBJbmZvQ29udGFpbmVyIiBWYWx1ZT0ic3smcXVvdDtjb2x1bW5Db3VudCZxdW90OzoyLCZxdW90O2tleUNvbHVtbk5hbWVzJnF1b3Q7OltdLCZxdW90O3F1ZXJ5UmVsYXRpb25zaGlwcyZxdW90OzpbXSwmcXVvdDtjb2x1bW5JZGVudGl0aWVzJnF1b3Q7OlsmcXVvdDtTZWN0aW9uMS9JdGVtcy9BdXRvUmVtb3ZlZENvbHVtbnMxLntJdGVtICMsMH0mcXVvdDssJnF1b3Q7U2VjdGlvbjEvSXRlbXMvQXV0b1JlbW92ZWRDb2x1bW5zMS57SXRlbSBOYW1lLDF9JnF1b3Q7XSwmcXVvdDtDb2x1bW5Db3VudCZxdW90OzoyLCZxdW90O0tleUNvbHVtbk5hbWVzJnF1b3Q7OltdLCZxdW90O0NvbHVtbklkZW50aXRpZXMmcXVvdDs6WyZxdW90O1NlY3Rpb24xL0l0ZW1zL0F1dG9SZW1vdmVkQ29sdW1uczEue0l0ZW0gIywwfSZxdW90OywmcXVvdDtTZWN0aW9uMS9JdGVtcy9BdXRvUmVtb3ZlZENvbHVtbnMxLntJdGVtIE5hbWUsMX0mcXVvdDtdLCZxdW90O1JlbGF0aW9uc2hpcEluZm8mcXVvdDs6W119IiAvPjxFbnRyeSBUeXBlPSJBZGRlZFRvRGF0YU1vZGVsIiBWYWx1ZT0ibDAiIC8+PC9TdGFibGVFbnRyaWVzPjwvSXRlbT48SXRlbT48SXRlbUxvY2F0aW9uPjxJdGVtVHlwZT5Gb3JtdWxhPC9JdGVtVHlwZT48SXRlbVBhdGg+U2VjdGlvbjEvSXRlbXMvU291cmNlPC9JdGVtUGF0aD48L0l0ZW1Mb2NhdGlvbj48U3RhYmxlRW50cmllcyAvPjwvSXRlbT48SXRlbT48SXRlbUxvY2F0aW9uPjxJdGVtVHlwZT5Gb3JtdWxhPC9JdGVtVHlwZT48SXRlbVBhdGg+U2VjdGlvbjEvSXRlbXMvU2hlZXQxX1NoZWV0PC9JdGVtUGF0aD48L0l0ZW1Mb2NhdGlvbj48U3RhYmxlRW50cmllcyAvPjwvSXRlbT48SXRlbT48SXRlbUxvY2F0aW9uPjxJdGVtVHlwZT5Gb3JtdWxhPC9JdGVtVHlwZT48SXRlbVBhdGg+U2VjdGlvbjEvSXRlbXMvUHJvbW90ZWQlMjBIZWFkZXJzPC9JdGVtUGF0aD48L0l0ZW1Mb2NhdGlvbj48U3RhYmxlRW50cmllcyAvPjwvSXRlbT48SXRlbT48SXRlbUxvY2F0aW9uPjxJdGVtVHlwZT5Gb3JtdWxhPC9JdGVtVHlwZT48SXRlbVBhdGg+U2VjdGlvbjEvSXRlbXMvQ2hhbmdlZCUyMFR5cGU8L0l0ZW1QYXRoPjwvSXRlbUxvY2F0aW9uPjxTdGFibGVFbnRyaWVzIC8+PC9JdGVtPjxJdGVtPjxJdGVtTG9jYXRpb24+PEl0ZW1UeXBlPkZvcm11bGE8L0l0ZW1UeXBlPjxJdGVtUGF0aD5TZWN0aW9uMS9JdGVtcy9GaWx0ZXJlZCUyMFJvd3M8L0l0ZW1QYXRoPjwvSXRlbUxvY2F0aW9uPjxTdGFibGVFbnRyaWVzIC8+PC9JdGVtPjxJdGVtPjxJdGVtTG9jYXRpb24+PEl0ZW1UeXBlPkZvcm11bGE8L0l0ZW1UeXBlPjxJdGVtUGF0aD5TZWN0aW9uMS9JdGVtcy9SZW5hbWVkJTIwQ29sdW1uczwvSXRlbVBhdGg+PC9JdGVtTG9jYXRpb24+PFN0YWJsZUVudHJpZXMgLz48L0l0ZW0+PEl0ZW0+PEl0ZW1Mb2NhdGlvbj48SXRlbVR5cGU+Rm9ybXVsYTwvSXRlbVR5cGU+PEl0ZW1QYXRoPlNlY3Rpb24xL0d1ZXN0cy9EdXBsaWNhdGVkJTIwQ29sdW1uPC9JdGVtUGF0aD48L0l0ZW1Mb2NhdGlvbj48U3RhYmxlRW50cmllcyAvPjwvSXRlbT48L0l0ZW1zPjwvTG9jYWxQYWNrYWdlTWV0YWRhdGFGaWxlPhYAAABQSwUGAAAAAAAAAAAAAAAAAAAAAAAAJgEAAAEAAADQjJ3fARXREYx6AMBPwpfrAQAAAKqOBL/y5bJLpUqrf29UQtcAAAAAAgAAAAAAEGYAAAABAAAgAAAAYn6s7plst0ZAsRRW5gYM4ZwCWPbckhxbepHFQVn/OvQAAAAADoAAAAACAAAgAAAAaUoSPDYBl3nTevxqICh3euF1Np+/omqKbvmpdApVoLhQAAAAcSFIMpsQGhuaIlTAcP400TO+aQAoL/yBP2FeKCVTb9IdLZQnWDy3kXaiozb3SPKWoeI1diPJiH4cYZ/jXLIX4IByydrow87u/vwuAxRRpPdAAAAAl25NcvkgHlVpRw1TunJDXAopMqRnjO9jS3joEaQChcduXQfl6PuBjKXB8QaytkrO3OoV5xILWSFvcu+ixcHTjA==</DataMashup>
</file>

<file path=customXml/itemProps1.xml><?xml version="1.0" encoding="utf-8"?>
<ds:datastoreItem xmlns:ds="http://schemas.openxmlformats.org/officeDocument/2006/customXml" ds:itemID="{C60F9D15-AA96-4AA0-9A50-1B2265BACC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1698</TotalTime>
  <Application>LibreOffice/24.2.3.2$Windows_X86_64 LibreOffice_project/433d9c2ded56988e8a90e6b2e771ee4e6a5ab2ba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2025-04-29T17:01:58Z</dcterms:created>
  <dc:creator>Peggy McGuire</dc:creator>
  <dc:description/>
  <dc:language>en-US</dc:language>
  <cp:lastModifiedBy/>
  <cp:lastPrinted>2025-05-05T01:39:46Z</cp:lastPrinted>
  <dcterms:modified xsi:type="dcterms:W3CDTF">2026-04-14T20:36:51Z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